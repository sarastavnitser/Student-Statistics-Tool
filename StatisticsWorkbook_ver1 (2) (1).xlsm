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activeX/activeX18.xml" ContentType="application/vnd.ms-office.activeX+xml"/>
  <Override PartName="/xl/activeX/activeX19.xml" ContentType="application/vnd.ms-office.activeX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xr:revisionPtr revIDLastSave="0" documentId="13_ncr:1_{41A1777D-7B39-469F-99CC-CCB4610657F1}" xr6:coauthVersionLast="47" xr6:coauthVersionMax="47" xr10:uidLastSave="{00000000-0000-0000-0000-000000000000}"/>
  <bookViews>
    <workbookView xWindow="-120" yWindow="-120" windowWidth="21840" windowHeight="13140" tabRatio="692" firstSheet="3" activeTab="6" xr2:uid="{B152F831-7B5E-9148-AD90-EF861721D9CB}"/>
  </bookViews>
  <sheets>
    <sheet name="Test Selection" sheetId="2" r:id="rId1"/>
    <sheet name="2 smpl Z test w. Popl. Par. " sheetId="3" r:id="rId2"/>
    <sheet name="1 smpl z test w. popl par p (2)" sheetId="12" r:id="rId3"/>
    <sheet name="1 smpl z test w. popl par p" sheetId="11" r:id="rId4"/>
    <sheet name="2 smpl T test w. Indpt. Samples" sheetId="6" r:id="rId5"/>
    <sheet name="1 smpl z test w. popl par mean" sheetId="7" r:id="rId6"/>
    <sheet name="1 smpl z test mean" sheetId="8" r:id="rId7"/>
    <sheet name="1 smpl t test mean" sheetId="9" r:id="rId8"/>
    <sheet name="2 smpl t test dependant samples" sheetId="10" r:id="rId9"/>
    <sheet name="Tables" sheetId="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0" l="1"/>
  <c r="F6" i="10"/>
  <c r="F7" i="10"/>
  <c r="F8" i="10"/>
  <c r="F9" i="10"/>
  <c r="F10" i="10"/>
  <c r="F11" i="10"/>
  <c r="F5" i="10"/>
  <c r="E12" i="12"/>
  <c r="E11" i="12"/>
  <c r="E13" i="12" l="1"/>
</calcChain>
</file>

<file path=xl/sharedStrings.xml><?xml version="1.0" encoding="utf-8"?>
<sst xmlns="http://schemas.openxmlformats.org/spreadsheetml/2006/main" count="174" uniqueCount="88">
  <si>
    <t>yes</t>
  </si>
  <si>
    <t>testing mean?</t>
  </si>
  <si>
    <t>no</t>
  </si>
  <si>
    <t>two samples?</t>
  </si>
  <si>
    <t>use ANOVA</t>
  </si>
  <si>
    <t>are samples independent?</t>
  </si>
  <si>
    <t xml:space="preserve">no </t>
  </si>
  <si>
    <t xml:space="preserve">are population parameters known? </t>
  </si>
  <si>
    <t>more than 2</t>
  </si>
  <si>
    <t>testing proportion?</t>
  </si>
  <si>
    <t>are population parameters known?</t>
  </si>
  <si>
    <t>One Sample?</t>
  </si>
  <si>
    <t xml:space="preserve">z - test </t>
  </si>
  <si>
    <t>hypothesis tsting that requires looking at population sizr that larger than 30</t>
  </si>
  <si>
    <t>t-test</t>
  </si>
  <si>
    <t>statistical hypothesis used to determine whether the two samples' means calculated are different if the standard deviation is available and the sample is large</t>
  </si>
  <si>
    <t>determines how averages of different data sets differ in case the standard deviation or the variance is unknown.</t>
  </si>
  <si>
    <t xml:space="preserve">research with limited sample size </t>
  </si>
  <si>
    <t>σ</t>
  </si>
  <si>
    <t xml:space="preserve">standard deviation </t>
  </si>
  <si>
    <t>population parameters</t>
  </si>
  <si>
    <t>𝑛</t>
  </si>
  <si>
    <t xml:space="preserve">sample size </t>
  </si>
  <si>
    <t>x ̅</t>
  </si>
  <si>
    <t>μ</t>
  </si>
  <si>
    <t xml:space="preserve">population mean </t>
  </si>
  <si>
    <t>p</t>
  </si>
  <si>
    <t>population proportion</t>
  </si>
  <si>
    <t xml:space="preserve">p ̂ </t>
  </si>
  <si>
    <t>null hypothesis</t>
  </si>
  <si>
    <t>alternative hypothesis</t>
  </si>
  <si>
    <t xml:space="preserve">if n is less than 30 and stdev is unkown </t>
  </si>
  <si>
    <t xml:space="preserve">sample mean </t>
  </si>
  <si>
    <t>s</t>
  </si>
  <si>
    <t xml:space="preserve">sample stdev </t>
  </si>
  <si>
    <t xml:space="preserve">yes </t>
  </si>
  <si>
    <t>n  &gt; 30</t>
  </si>
  <si>
    <t>sample proportion</t>
  </si>
  <si>
    <t>q</t>
  </si>
  <si>
    <t>1 - p</t>
  </si>
  <si>
    <t>a</t>
  </si>
  <si>
    <t xml:space="preserve">level of significance </t>
  </si>
  <si>
    <t>Group 1 values</t>
  </si>
  <si>
    <t>Group 2 values</t>
  </si>
  <si>
    <t>Population Parameters</t>
  </si>
  <si>
    <r>
      <t>m</t>
    </r>
    <r>
      <rPr>
        <vertAlign val="subscript"/>
        <sz val="12"/>
        <color theme="1"/>
        <rFont val="Symbol"/>
        <family val="1"/>
        <charset val="2"/>
      </rPr>
      <t>1</t>
    </r>
  </si>
  <si>
    <r>
      <t>m</t>
    </r>
    <r>
      <rPr>
        <vertAlign val="subscript"/>
        <sz val="12"/>
        <color theme="1"/>
        <rFont val="Symbol"/>
        <family val="1"/>
        <charset val="2"/>
      </rPr>
      <t>2</t>
    </r>
  </si>
  <si>
    <r>
      <t>s</t>
    </r>
    <r>
      <rPr>
        <vertAlign val="subscript"/>
        <sz val="12"/>
        <color theme="1"/>
        <rFont val="Symbol"/>
        <family val="1"/>
        <charset val="2"/>
      </rPr>
      <t>1</t>
    </r>
  </si>
  <si>
    <r>
      <t>s</t>
    </r>
    <r>
      <rPr>
        <vertAlign val="subscript"/>
        <sz val="12"/>
        <color theme="1"/>
        <rFont val="Symbol"/>
        <family val="1"/>
        <charset val="2"/>
      </rPr>
      <t>2</t>
    </r>
  </si>
  <si>
    <t>mean of Group 1</t>
  </si>
  <si>
    <t>mean of Group 2</t>
  </si>
  <si>
    <t>St. dev. Group 1</t>
  </si>
  <si>
    <t>St. dev. Group 2</t>
  </si>
  <si>
    <t>Calculated Quantities</t>
  </si>
  <si>
    <t>sample 1 mean</t>
  </si>
  <si>
    <t>sample 2 mean</t>
  </si>
  <si>
    <t>Z</t>
  </si>
  <si>
    <t>Z-score</t>
  </si>
  <si>
    <r>
      <rPr>
        <sz val="12"/>
        <color theme="1"/>
        <rFont val="Calibri"/>
        <family val="2"/>
        <scheme val="minor"/>
      </rPr>
      <t>n</t>
    </r>
    <r>
      <rPr>
        <vertAlign val="subscript"/>
        <sz val="12"/>
        <color theme="1"/>
        <rFont val="Calibri"/>
        <family val="2"/>
        <scheme val="minor"/>
      </rPr>
      <t>2</t>
    </r>
  </si>
  <si>
    <t>size sample 2</t>
  </si>
  <si>
    <r>
      <t>n</t>
    </r>
    <r>
      <rPr>
        <vertAlign val="subscript"/>
        <sz val="12"/>
        <color theme="1"/>
        <rFont val="Calibri"/>
        <family val="2"/>
        <scheme val="minor"/>
      </rPr>
      <t>1</t>
    </r>
  </si>
  <si>
    <t>size sample 1</t>
  </si>
  <si>
    <t>Hypothesis Values</t>
  </si>
  <si>
    <r>
      <t>s</t>
    </r>
    <r>
      <rPr>
        <vertAlign val="subscript"/>
        <sz val="12"/>
        <color theme="1"/>
        <rFont val="Calibri"/>
        <family val="2"/>
        <scheme val="minor"/>
      </rPr>
      <t>1</t>
    </r>
  </si>
  <si>
    <r>
      <t>s</t>
    </r>
    <r>
      <rPr>
        <vertAlign val="subscript"/>
        <sz val="12"/>
        <color theme="1"/>
        <rFont val="Calibri"/>
        <family val="2"/>
        <scheme val="minor"/>
      </rPr>
      <t>2</t>
    </r>
  </si>
  <si>
    <t>sample 2 stdev</t>
  </si>
  <si>
    <t xml:space="preserve">sample 1 stdev </t>
  </si>
  <si>
    <t>T</t>
  </si>
  <si>
    <t>T-score</t>
  </si>
  <si>
    <t>z</t>
  </si>
  <si>
    <t>df</t>
  </si>
  <si>
    <t>one-tailed α</t>
  </si>
  <si>
    <t>two-tailed α</t>
  </si>
  <si>
    <t>stdev sample 1</t>
  </si>
  <si>
    <t>Calculated Differences</t>
  </si>
  <si>
    <t>mean of differences</t>
  </si>
  <si>
    <t>differences mean</t>
  </si>
  <si>
    <t>stdev differences</t>
  </si>
  <si>
    <t xml:space="preserve">size sample </t>
  </si>
  <si>
    <t>probability of success</t>
  </si>
  <si>
    <t>Observed Values</t>
  </si>
  <si>
    <t xml:space="preserve">n </t>
  </si>
  <si>
    <t>number of trials</t>
  </si>
  <si>
    <r>
      <t>n</t>
    </r>
    <r>
      <rPr>
        <vertAlign val="subscript"/>
        <sz val="12"/>
        <color theme="1"/>
        <rFont val="Calibri"/>
        <family val="2"/>
        <scheme val="minor"/>
      </rPr>
      <t>s</t>
    </r>
  </si>
  <si>
    <t>number of successes</t>
  </si>
  <si>
    <t xml:space="preserve">calculated p </t>
  </si>
  <si>
    <t>probabiity of failure</t>
  </si>
  <si>
    <t>Null Hypothesis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</si>
</sst>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2"/>
      <color theme="1"/>
      <name val="Calibri"/>
      <family val="2"/>
      <scheme val="minor"/>
    </font>
    <font>
      <sz val="11"/>
      <color rgb="FF202124"/>
      <name val="Arial"/>
      <family val="2"/>
    </font>
    <font>
      <sz val="18"/>
      <color theme="1"/>
      <name val="Cambria Math"/>
      <family val="1"/>
    </font>
    <font>
      <sz val="16"/>
      <color theme="1"/>
      <name val="Cambria Math"/>
      <family val="1"/>
    </font>
    <font>
      <sz val="24"/>
      <color theme="1"/>
      <name val="Cambria Math"/>
      <family val="1"/>
    </font>
    <font>
      <b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/>
    </fill>
    <fill>
      <patternFill patternType="solid">
        <fgColor theme="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0" borderId="0" xfId="0" applyFont="1" applyAlignment="1">
      <alignment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4" borderId="0" xfId="0" applyFill="1"/>
    <xf numFmtId="0" fontId="0" fillId="5" borderId="0" xfId="0" applyFill="1"/>
    <xf numFmtId="0" fontId="5" fillId="0" borderId="1" xfId="0" applyFont="1" applyBorder="1"/>
    <xf numFmtId="0" fontId="6" fillId="0" borderId="4" xfId="0" applyFont="1" applyBorder="1"/>
    <xf numFmtId="0" fontId="0" fillId="0" borderId="4" xfId="0" applyBorder="1"/>
    <xf numFmtId="0" fontId="0" fillId="6" borderId="4" xfId="0" applyFill="1" applyBorder="1"/>
    <xf numFmtId="0" fontId="6" fillId="0" borderId="6" xfId="0" applyFont="1" applyBorder="1"/>
    <xf numFmtId="0" fontId="0" fillId="0" borderId="6" xfId="0" applyBorder="1"/>
    <xf numFmtId="0" fontId="0" fillId="7" borderId="4" xfId="0" applyFill="1" applyBorder="1"/>
    <xf numFmtId="0" fontId="0" fillId="0" borderId="4" xfId="0" applyBorder="1" applyAlignment="1">
      <alignment horizontal="center" vertical="center"/>
    </xf>
    <xf numFmtId="2" fontId="0" fillId="0" borderId="0" xfId="0" applyNumberFormat="1"/>
    <xf numFmtId="0" fontId="8" fillId="0" borderId="4" xfId="0" applyFont="1" applyBorder="1"/>
    <xf numFmtId="164" fontId="0" fillId="7" borderId="4" xfId="0" applyNumberFormat="1" applyFill="1" applyBorder="1"/>
    <xf numFmtId="2" fontId="0" fillId="7" borderId="6" xfId="0" applyNumberFormat="1" applyFill="1" applyBorder="1"/>
    <xf numFmtId="2" fontId="0" fillId="7" borderId="4" xfId="0" applyNumberFormat="1" applyFill="1" applyBorder="1"/>
    <xf numFmtId="2" fontId="0" fillId="7" borderId="0" xfId="0" applyNumberFormat="1" applyFill="1"/>
    <xf numFmtId="0" fontId="5" fillId="0" borderId="7" xfId="0" applyFont="1" applyBorder="1"/>
    <xf numFmtId="0" fontId="0" fillId="0" borderId="8" xfId="0" applyBorder="1"/>
    <xf numFmtId="0" fontId="0" fillId="6" borderId="9" xfId="0" applyFill="1" applyBorder="1"/>
    <xf numFmtId="0" fontId="0" fillId="0" borderId="10" xfId="0" applyBorder="1"/>
    <xf numFmtId="0" fontId="0" fillId="0" borderId="11" xfId="0" applyBorder="1"/>
    <xf numFmtId="1" fontId="0" fillId="6" borderId="12" xfId="0" applyNumberFormat="1" applyFill="1" applyBorder="1"/>
    <xf numFmtId="0" fontId="0" fillId="0" borderId="13" xfId="0" applyBorder="1"/>
    <xf numFmtId="0" fontId="0" fillId="0" borderId="14" xfId="0" applyBorder="1"/>
    <xf numFmtId="0" fontId="0" fillId="6" borderId="15" xfId="0" applyFill="1" applyBorder="1"/>
    <xf numFmtId="1" fontId="0" fillId="0" borderId="0" xfId="0" applyNumberFormat="1"/>
    <xf numFmtId="0" fontId="6" fillId="0" borderId="10" xfId="0" applyFont="1" applyBorder="1"/>
    <xf numFmtId="2" fontId="0" fillId="7" borderId="12" xfId="0" applyNumberFormat="1" applyFill="1" applyBorder="1"/>
    <xf numFmtId="0" fontId="0" fillId="0" borderId="16" xfId="0" applyBorder="1"/>
    <xf numFmtId="0" fontId="0" fillId="7" borderId="17" xfId="0" applyFill="1" applyBorder="1"/>
    <xf numFmtId="2" fontId="0" fillId="7" borderId="15" xfId="0" applyNumberFormat="1" applyFill="1" applyBorder="1"/>
    <xf numFmtId="0" fontId="5" fillId="0" borderId="2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287970</xdr:colOff>
      <xdr:row>4</xdr:row>
      <xdr:rowOff>76200</xdr:rowOff>
    </xdr:from>
    <xdr:to>
      <xdr:col>2</xdr:col>
      <xdr:colOff>287970</xdr:colOff>
      <xdr:row>7</xdr:row>
      <xdr:rowOff>1196162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1949307" y="1482799"/>
          <a:ext cx="0" cy="305818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88900</xdr:colOff>
      <xdr:row>10</xdr:row>
      <xdr:rowOff>342900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1727200" y="3771900"/>
          <a:ext cx="12700" cy="736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546100</xdr:colOff>
      <xdr:row>9</xdr:row>
      <xdr:rowOff>38100</xdr:rowOff>
    </xdr:from>
    <xdr:to>
      <xdr:col>4</xdr:col>
      <xdr:colOff>558800</xdr:colOff>
      <xdr:row>10</xdr:row>
      <xdr:rowOff>330200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3987800" y="3695700"/>
          <a:ext cx="12700" cy="800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558800</xdr:colOff>
      <xdr:row>12</xdr:row>
      <xdr:rowOff>114300</xdr:rowOff>
    </xdr:from>
    <xdr:to>
      <xdr:col>4</xdr:col>
      <xdr:colOff>558800</xdr:colOff>
      <xdr:row>12</xdr:row>
      <xdr:rowOff>444500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4000500" y="5295900"/>
          <a:ext cx="0" cy="330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317500</xdr:colOff>
      <xdr:row>4</xdr:row>
      <xdr:rowOff>139700</xdr:rowOff>
    </xdr:from>
    <xdr:to>
      <xdr:col>7</xdr:col>
      <xdr:colOff>317500</xdr:colOff>
      <xdr:row>4</xdr:row>
      <xdr:rowOff>469900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6934200" y="1257300"/>
          <a:ext cx="0" cy="330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4</xdr:row>
      <xdr:rowOff>152400</xdr:rowOff>
    </xdr:from>
    <xdr:to>
      <xdr:col>4</xdr:col>
      <xdr:colOff>406400</xdr:colOff>
      <xdr:row>4</xdr:row>
      <xdr:rowOff>482600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3848100" y="1270000"/>
          <a:ext cx="0" cy="330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165100</xdr:colOff>
      <xdr:row>3</xdr:row>
      <xdr:rowOff>127000</xdr:rowOff>
    </xdr:from>
    <xdr:to>
      <xdr:col>3</xdr:col>
      <xdr:colOff>622300</xdr:colOff>
      <xdr:row>3</xdr:row>
      <xdr:rowOff>127000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2781300" y="736600"/>
          <a:ext cx="457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215900</xdr:colOff>
      <xdr:row>3</xdr:row>
      <xdr:rowOff>127000</xdr:rowOff>
    </xdr:from>
    <xdr:to>
      <xdr:col>6</xdr:col>
      <xdr:colOff>1485900</xdr:colOff>
      <xdr:row>3</xdr:row>
      <xdr:rowOff>139700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5194300" y="787400"/>
          <a:ext cx="2095500" cy="1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114300</xdr:rowOff>
    </xdr:from>
    <xdr:to>
      <xdr:col>8</xdr:col>
      <xdr:colOff>647700</xdr:colOff>
      <xdr:row>3</xdr:row>
      <xdr:rowOff>114300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7988300" y="723900"/>
          <a:ext cx="457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177800</xdr:colOff>
      <xdr:row>5</xdr:row>
      <xdr:rowOff>88900</xdr:rowOff>
    </xdr:from>
    <xdr:to>
      <xdr:col>8</xdr:col>
      <xdr:colOff>635000</xdr:colOff>
      <xdr:row>5</xdr:row>
      <xdr:rowOff>88900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7975600" y="1714500"/>
          <a:ext cx="457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8</xdr:row>
      <xdr:rowOff>294758</xdr:rowOff>
    </xdr:from>
    <xdr:to>
      <xdr:col>6</xdr:col>
      <xdr:colOff>1473200</xdr:colOff>
      <xdr:row>8</xdr:row>
      <xdr:rowOff>307458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5136412" y="4902200"/>
          <a:ext cx="2151468" cy="1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168348</xdr:colOff>
      <xdr:row>11</xdr:row>
      <xdr:rowOff>413341</xdr:rowOff>
    </xdr:from>
    <xdr:to>
      <xdr:col>6</xdr:col>
      <xdr:colOff>1439825</xdr:colOff>
      <xdr:row>11</xdr:row>
      <xdr:rowOff>413341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5152360" y="7180521"/>
          <a:ext cx="210214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0</xdr:colOff>
      <xdr:row>16</xdr:row>
      <xdr:rowOff>0</xdr:rowOff>
    </xdr:from>
    <xdr:to>
      <xdr:col>22</xdr:col>
      <xdr:colOff>304800</xdr:colOff>
      <xdr:row>17</xdr:row>
      <xdr:rowOff>101600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5240000" y="690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304800</xdr:colOff>
      <xdr:row>12</xdr:row>
      <xdr:rowOff>304800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60655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304800</xdr:colOff>
      <xdr:row>12</xdr:row>
      <xdr:rowOff>304800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60655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8</xdr:col>
      <xdr:colOff>666750</xdr:colOff>
      <xdr:row>3</xdr:row>
      <xdr:rowOff>19050</xdr:rowOff>
    </xdr:from>
    <xdr:ext cx="1466850" cy="704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747250" y="527050"/>
              <a:ext cx="14668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 baseline="0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6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600" b="0" i="1" baseline="0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6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600" b="0" i="1" baseline="0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6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6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6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6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600" baseline="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5A0D2B2B-3F59-E774-6D88-E06B4E03DC82}"/>
                </a:ext>
              </a:extLst>
            </xdr:cNvPr>
            <xdr:cNvSpPr txBox="1"/>
          </xdr:nvSpPr>
          <xdr:spPr>
            <a:xfrm>
              <a:off x="9747250" y="527050"/>
              <a:ext cx="14668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 i="0" baseline="0">
                  <a:latin typeface="Cambria Math" panose="02040503050406030204" pitchFamily="18" charset="0"/>
                </a:rPr>
                <a:t>𝑧=</a:t>
              </a:r>
              <a:r>
                <a:rPr lang="en-US" sz="16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600" b="0" i="0" baseline="0">
                  <a:latin typeface="Cambria Math" panose="02040503050406030204" pitchFamily="18" charset="0"/>
                </a:rPr>
                <a:t>𝑥 ̅  − </a:t>
              </a:r>
              <a:r>
                <a:rPr lang="en-US" sz="16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𝜇)/(𝜎/√𝑛)</a:t>
              </a:r>
              <a:endParaRPr lang="en-US" sz="1600" baseline="0"/>
            </a:p>
          </xdr:txBody>
        </xdr:sp>
      </mc:Fallback>
    </mc:AlternateContent>
    <xdr:clientData/>
  </xdr:oneCellAnchor>
  <xdr:oneCellAnchor>
    <xdr:from>
      <xdr:col>9</xdr:col>
      <xdr:colOff>44450</xdr:colOff>
      <xdr:row>5</xdr:row>
      <xdr:rowOff>19050</xdr:rowOff>
    </xdr:from>
    <xdr:ext cx="1242969" cy="8465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9950450" y="1543050"/>
              <a:ext cx="1242969" cy="8465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400" b="0" i="1" baseline="0">
                      <a:latin typeface="Cambria Math" panose="02040503050406030204" pitchFamily="18" charset="0"/>
                    </a:rPr>
                    <m:t>𝑧</m:t>
                  </m:r>
                  <m:r>
                    <a:rPr lang="en-US" sz="24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24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acc>
                        <m:accPr>
                          <m:chr m:val="̂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2400" b="0" i="1" baseline="0">
                              <a:latin typeface="Cambria Math" panose="02040503050406030204" pitchFamily="18" charset="0"/>
                            </a:rPr>
                            <m:t>𝑝</m:t>
                          </m:r>
                        </m:e>
                      </m:acc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𝑝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f>
                            <m:fPr>
                              <m:ctrlP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𝑝𝑞</m:t>
                              </m:r>
                            </m:num>
                            <m:den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den>
                          </m:f>
                        </m:e>
                      </m:rad>
                    </m:den>
                  </m:f>
                </m:oMath>
              </a14:m>
              <a:r>
                <a:rPr lang="en-US" sz="2400" baseline="0"/>
                <a:t> </a:t>
              </a:r>
              <a:endParaRPr lang="en-US" sz="24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230CA250-6559-F87E-0574-595E30F9FFA7}"/>
                </a:ext>
              </a:extLst>
            </xdr:cNvPr>
            <xdr:cNvSpPr txBox="1"/>
          </xdr:nvSpPr>
          <xdr:spPr>
            <a:xfrm>
              <a:off x="9950450" y="1543050"/>
              <a:ext cx="1242969" cy="8465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400" b="0" i="0" baseline="0">
                  <a:latin typeface="Cambria Math" panose="02040503050406030204" pitchFamily="18" charset="0"/>
                </a:rPr>
                <a:t>𝑧=  (𝑝 ̂  − 𝑝)/√(𝑝𝑞/𝑛)</a:t>
              </a:r>
              <a:r>
                <a:rPr lang="en-US" sz="2400" baseline="0"/>
                <a:t> </a:t>
              </a:r>
              <a:endParaRPr lang="en-US" sz="2400"/>
            </a:p>
          </xdr:txBody>
        </xdr:sp>
      </mc:Fallback>
    </mc:AlternateContent>
    <xdr:clientData/>
  </xdr:oneCellAnchor>
  <xdr:oneCellAnchor>
    <xdr:from>
      <xdr:col>4</xdr:col>
      <xdr:colOff>57150</xdr:colOff>
      <xdr:row>7</xdr:row>
      <xdr:rowOff>196850</xdr:rowOff>
    </xdr:from>
    <xdr:ext cx="1139736" cy="7648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3498850" y="3549650"/>
              <a:ext cx="113973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94AE776-1B9F-6CEA-70BD-D3AF9833A79B}"/>
                </a:ext>
              </a:extLst>
            </xdr:cNvPr>
            <xdr:cNvSpPr txBox="1"/>
          </xdr:nvSpPr>
          <xdr:spPr>
            <a:xfrm>
              <a:off x="3498850" y="3549650"/>
              <a:ext cx="113973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𝑡=  (𝑥 ̅ 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</a:t>
              </a:r>
              <a:r>
                <a:rPr lang="en-US" sz="1800" b="0" i="0">
                  <a:latin typeface="Cambria Math" panose="02040503050406030204" pitchFamily="18" charset="0"/>
                </a:rPr>
                <a:t>𝑠/√𝑛)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6</xdr:col>
      <xdr:colOff>1517651</xdr:colOff>
      <xdr:row>8</xdr:row>
      <xdr:rowOff>69850</xdr:rowOff>
    </xdr:from>
    <xdr:ext cx="3879850" cy="11636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7321551" y="4692650"/>
              <a:ext cx="3879850" cy="11636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acc>
                          <m:accPr>
                            <m:chr m:val="̅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̅"/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acc>
                                  <m:accPr>
                                    <m:chr m:val="̅"/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acc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</m:acc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) −(</m:t>
                            </m:r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 − </m:t>
                            </m:r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)</m:t>
                            </m:r>
                          </m:e>
                        </m:acc>
                      </m:num>
                      <m:den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  <m:sup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  <m:sup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  <m:r>
                      <a:rPr lang="en-US" sz="18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50A148B-AA54-D115-4B50-8BF0A65411CA}"/>
                </a:ext>
              </a:extLst>
            </xdr:cNvPr>
            <xdr:cNvSpPr txBox="1"/>
          </xdr:nvSpPr>
          <xdr:spPr>
            <a:xfrm>
              <a:off x="7321551" y="4692650"/>
              <a:ext cx="3879850" cy="11636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𝑧=  (((𝑥 ̅_1  − 𝑥 ̅_2) −(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800" b="0" i="0">
                  <a:latin typeface="Cambria Math" panose="02040503050406030204" pitchFamily="18" charset="0"/>
                </a:rPr>
                <a:t>1 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𝜇_2</a:t>
              </a:r>
              <a:r>
                <a:rPr lang="en-US" sz="1800" b="0" i="0">
                  <a:latin typeface="Cambria Math" panose="02040503050406030204" pitchFamily="18" charset="0"/>
                </a:rPr>
                <a:t>)) ̅)/√((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US" sz="1800" b="0" i="0">
                  <a:latin typeface="Cambria Math" panose="02040503050406030204" pitchFamily="18" charset="0"/>
                </a:rPr>
                <a:t>1^2)/𝑛_1 +(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𝜎_2^</a:t>
              </a:r>
              <a:r>
                <a:rPr lang="en-US" sz="1800" b="0" i="0">
                  <a:latin typeface="Cambria Math" panose="02040503050406030204" pitchFamily="18" charset="0"/>
                </a:rPr>
                <a:t>2)/𝑛_2 )  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120650</xdr:colOff>
      <xdr:row>13</xdr:row>
      <xdr:rowOff>6350</xdr:rowOff>
    </xdr:from>
    <xdr:ext cx="1267398" cy="7809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3562350" y="7346950"/>
              <a:ext cx="1267398" cy="780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sub>
                            </m:sSub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26DC1BE5-719E-EF83-B592-A510988320E0}"/>
                </a:ext>
              </a:extLst>
            </xdr:cNvPr>
            <xdr:cNvSpPr txBox="1"/>
          </xdr:nvSpPr>
          <xdr:spPr>
            <a:xfrm>
              <a:off x="3562350" y="7346950"/>
              <a:ext cx="1267398" cy="780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𝑡=  (𝑑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800" b="0" i="0">
                  <a:latin typeface="Cambria Math" panose="02040503050406030204" pitchFamily="18" charset="0"/>
                </a:rPr>
                <a:t>𝑑)/(𝑠_𝑑/√𝑛)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3</xdr:col>
      <xdr:colOff>228600</xdr:colOff>
      <xdr:row>8</xdr:row>
      <xdr:rowOff>279400</xdr:rowOff>
    </xdr:from>
    <xdr:to>
      <xdr:col>3</xdr:col>
      <xdr:colOff>685800</xdr:colOff>
      <xdr:row>8</xdr:row>
      <xdr:rowOff>279400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844800" y="3733800"/>
          <a:ext cx="457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82550</xdr:colOff>
      <xdr:row>11</xdr:row>
      <xdr:rowOff>400050</xdr:rowOff>
    </xdr:from>
    <xdr:ext cx="283796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14547850" y="6013450"/>
              <a:ext cx="283796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747553-1A2C-6C10-9E9B-12300CE73A8E}"/>
                </a:ext>
              </a:extLst>
            </xdr:cNvPr>
            <xdr:cNvSpPr txBox="1"/>
          </xdr:nvSpPr>
          <xdr:spPr>
            <a:xfrm>
              <a:off x="14547850" y="6013450"/>
              <a:ext cx="283796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𝐻_𝑜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18</xdr:col>
      <xdr:colOff>247650</xdr:colOff>
      <xdr:row>12</xdr:row>
      <xdr:rowOff>95250</xdr:rowOff>
    </xdr:from>
    <xdr:ext cx="28950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14712950" y="6927850"/>
              <a:ext cx="289503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C56695E6-1790-4343-9324-33EDA8D1D88A}"/>
                </a:ext>
              </a:extLst>
            </xdr:cNvPr>
            <xdr:cNvSpPr txBox="1"/>
          </xdr:nvSpPr>
          <xdr:spPr>
            <a:xfrm>
              <a:off x="14712950" y="6927850"/>
              <a:ext cx="289503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𝐻_𝑎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279400</xdr:colOff>
      <xdr:row>5</xdr:row>
      <xdr:rowOff>76200</xdr:rowOff>
    </xdr:from>
    <xdr:ext cx="1158586" cy="7648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6083300" y="2006600"/>
              <a:ext cx="115858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44B782C4-533B-464A-93A5-DFA621AD26A5}"/>
                </a:ext>
              </a:extLst>
            </xdr:cNvPr>
            <xdr:cNvSpPr txBox="1"/>
          </xdr:nvSpPr>
          <xdr:spPr>
            <a:xfrm>
              <a:off x="6083300" y="2006600"/>
              <a:ext cx="115858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𝑧=  (𝑥 ̅ 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</a:t>
              </a:r>
              <a:r>
                <a:rPr lang="en-US" sz="1800" b="0" i="0">
                  <a:latin typeface="Cambria Math" panose="02040503050406030204" pitchFamily="18" charset="0"/>
                </a:rPr>
                <a:t>𝑠/√𝑛)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4</xdr:col>
      <xdr:colOff>406400</xdr:colOff>
      <xdr:row>6</xdr:row>
      <xdr:rowOff>152400</xdr:rowOff>
    </xdr:from>
    <xdr:to>
      <xdr:col>4</xdr:col>
      <xdr:colOff>406400</xdr:colOff>
      <xdr:row>6</xdr:row>
      <xdr:rowOff>482600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>
          <a:off x="3848100" y="1422400"/>
          <a:ext cx="0" cy="330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177800</xdr:colOff>
      <xdr:row>5</xdr:row>
      <xdr:rowOff>254000</xdr:rowOff>
    </xdr:from>
    <xdr:to>
      <xdr:col>5</xdr:col>
      <xdr:colOff>635000</xdr:colOff>
      <xdr:row>5</xdr:row>
      <xdr:rowOff>254000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5156200" y="2032000"/>
          <a:ext cx="457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350921</xdr:colOff>
      <xdr:row>11</xdr:row>
      <xdr:rowOff>20053</xdr:rowOff>
    </xdr:from>
    <xdr:ext cx="2569806" cy="1136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7930816" y="6757737"/>
              <a:ext cx="2569806" cy="11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acc>
                              <m:accPr>
                                <m:chr m:val="̅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</m:acc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acc>
                              <m:accPr>
                                <m:chr m:val="̅"/>
                                <m:ctrlPr>
                                  <a:rPr lang="en-US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en-US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num>
                      <m:den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  <m:sup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𝑠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  <m:sup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8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986198E-CEEB-4B96-9208-4F6BD54E2EB0}"/>
                </a:ext>
              </a:extLst>
            </xdr:cNvPr>
            <xdr:cNvSpPr txBox="1">
              <a:spLocks noChangeAspect="1"/>
            </xdr:cNvSpPr>
          </xdr:nvSpPr>
          <xdr:spPr>
            <a:xfrm>
              <a:off x="7930816" y="6757737"/>
              <a:ext cx="2569806" cy="11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𝑡=(((𝑥_1 ) ̅−</a:t>
              </a:r>
              <a:r>
                <a:rPr lang="en-US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(𝑥_2 ) ̅ )</a:t>
              </a:r>
              <a:r>
                <a:rPr lang="en-US" sz="1800" b="0" i="0">
                  <a:latin typeface="Cambria Math" panose="02040503050406030204" pitchFamily="18" charset="0"/>
                </a:rPr>
                <a:t>−(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800" b="0" i="0">
                  <a:latin typeface="Cambria Math" panose="02040503050406030204" pitchFamily="18" charset="0"/>
                </a:rPr>
                <a:t>1−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800" b="0" i="0">
                  <a:latin typeface="Cambria Math" panose="02040503050406030204" pitchFamily="18" charset="0"/>
                </a:rPr>
                <a:t>2 ))/√((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𝑠_</a:t>
              </a:r>
              <a:r>
                <a:rPr lang="en-US" sz="1800" b="0" i="0">
                  <a:latin typeface="Cambria Math" panose="02040503050406030204" pitchFamily="18" charset="0"/>
                </a:rPr>
                <a:t>1^2)/𝑛_1 +(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𝑠_</a:t>
              </a:r>
              <a:r>
                <a:rPr lang="en-US" sz="1800" b="0" i="0">
                  <a:latin typeface="Cambria Math" panose="02040503050406030204" pitchFamily="18" charset="0"/>
                </a:rPr>
                <a:t>2^2)/𝑛_2 )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57150</xdr:rowOff>
        </xdr:from>
        <xdr:to>
          <xdr:col>7</xdr:col>
          <xdr:colOff>3171825</xdr:colOff>
          <xdr:row>8</xdr:row>
          <xdr:rowOff>1104900</xdr:rowOff>
        </xdr:to>
        <xdr:sp macro="" textlink="">
          <xdr:nvSpPr>
            <xdr:cNvPr id="1025" name="cb2zp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47625</xdr:rowOff>
        </xdr:from>
        <xdr:to>
          <xdr:col>7</xdr:col>
          <xdr:colOff>3190875</xdr:colOff>
          <xdr:row>12</xdr:row>
          <xdr:rowOff>9525</xdr:rowOff>
        </xdr:to>
        <xdr:sp macro="" textlink="">
          <xdr:nvSpPr>
            <xdr:cNvPr id="1026" name="cb2t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38100</xdr:rowOff>
        </xdr:from>
        <xdr:to>
          <xdr:col>9</xdr:col>
          <xdr:colOff>1238250</xdr:colOff>
          <xdr:row>3</xdr:row>
          <xdr:rowOff>704850</xdr:rowOff>
        </xdr:to>
        <xdr:sp macro="" textlink="">
          <xdr:nvSpPr>
            <xdr:cNvPr id="1027" name="cb1zpp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5</xdr:row>
          <xdr:rowOff>57150</xdr:rowOff>
        </xdr:from>
        <xdr:to>
          <xdr:col>6</xdr:col>
          <xdr:colOff>1638300</xdr:colOff>
          <xdr:row>5</xdr:row>
          <xdr:rowOff>885825</xdr:rowOff>
        </xdr:to>
        <xdr:sp macro="" textlink="">
          <xdr:nvSpPr>
            <xdr:cNvPr id="1028" name="cb1z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142875</xdr:rowOff>
        </xdr:from>
        <xdr:to>
          <xdr:col>4</xdr:col>
          <xdr:colOff>1409700</xdr:colOff>
          <xdr:row>7</xdr:row>
          <xdr:rowOff>1228725</xdr:rowOff>
        </xdr:to>
        <xdr:sp macro="" textlink="">
          <xdr:nvSpPr>
            <xdr:cNvPr id="1029" name="cb1tm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13</xdr:row>
          <xdr:rowOff>28575</xdr:rowOff>
        </xdr:from>
        <xdr:to>
          <xdr:col>4</xdr:col>
          <xdr:colOff>1447800</xdr:colOff>
          <xdr:row>13</xdr:row>
          <xdr:rowOff>800100</xdr:rowOff>
        </xdr:to>
        <xdr:sp macro="" textlink="">
          <xdr:nvSpPr>
            <xdr:cNvPr id="1030" name="cb2t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19050</xdr:rowOff>
        </xdr:from>
        <xdr:to>
          <xdr:col>9</xdr:col>
          <xdr:colOff>1238250</xdr:colOff>
          <xdr:row>5</xdr:row>
          <xdr:rowOff>866775</xdr:rowOff>
        </xdr:to>
        <xdr:sp macro="" textlink="">
          <xdr:nvSpPr>
            <xdr:cNvPr id="1031" name="cb1zppp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80962</xdr:colOff>
      <xdr:row>10</xdr:row>
      <xdr:rowOff>28575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100387" y="1800225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3A1B60B-4944-48DC-A8F2-234AC7CF9F27}"/>
                </a:ext>
              </a:extLst>
            </xdr:cNvPr>
            <xdr:cNvSpPr txBox="1"/>
          </xdr:nvSpPr>
          <xdr:spPr>
            <a:xfrm>
              <a:off x="3100387" y="1800225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295275</xdr:colOff>
      <xdr:row>12</xdr:row>
      <xdr:rowOff>85725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172325" y="22574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33337</xdr:colOff>
      <xdr:row>11</xdr:row>
      <xdr:rowOff>28575</xdr:rowOff>
    </xdr:from>
    <xdr:ext cx="223138" cy="347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3052762" y="2809875"/>
              <a:ext cx="223138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 b="0"/>
            </a:p>
            <a:p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DB0DFE4-B9F8-907E-4B86-914334B91B4A}"/>
                </a:ext>
              </a:extLst>
            </xdr:cNvPr>
            <xdr:cNvSpPr txBox="1"/>
          </xdr:nvSpPr>
          <xdr:spPr>
            <a:xfrm>
              <a:off x="3052762" y="2809875"/>
              <a:ext cx="223138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 ̅</a:t>
              </a:r>
              <a:endParaRPr lang="en-US" sz="1100" b="0"/>
            </a:p>
            <a:p>
              <a:r>
                <a:rPr lang="en-US" sz="11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57150</xdr:colOff>
      <xdr:row>0</xdr:row>
      <xdr:rowOff>38100</xdr:rowOff>
    </xdr:from>
    <xdr:ext cx="1581972" cy="6947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57150" y="38100"/>
              <a:ext cx="1581972" cy="6947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acc>
                              <m:accPr>
                                <m:chr m:val="̅"/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</m:acc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acc>
                              <m:accPr>
                                <m:chr m:val="̅"/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</m:acc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num>
                      <m:den>
                        <m:rad>
                          <m:radPr>
                            <m:deg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  <m:sup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Sup>
                                  <m:sSubSup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  <m:sup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04BB9FB-F30C-4182-8184-6AE24951E80E}"/>
                </a:ext>
              </a:extLst>
            </xdr:cNvPr>
            <xdr:cNvSpPr txBox="1"/>
          </xdr:nvSpPr>
          <xdr:spPr>
            <a:xfrm>
              <a:off x="57150" y="38100"/>
              <a:ext cx="1581972" cy="6947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𝑧=(((𝑥_1 ) ̅−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(𝑥_2 ) ̅ )</a:t>
              </a:r>
              <a:r>
                <a:rPr lang="en-US" sz="1100" b="0" i="0">
                  <a:latin typeface="Cambria Math" panose="02040503050406030204" pitchFamily="18" charset="0"/>
                </a:rPr>
                <a:t>−(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100" b="0" i="0">
                  <a:latin typeface="Cambria Math" panose="02040503050406030204" pitchFamily="18" charset="0"/>
                </a:rPr>
                <a:t>1−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100" b="0" i="0">
                  <a:latin typeface="Cambria Math" panose="02040503050406030204" pitchFamily="18" charset="0"/>
                </a:rPr>
                <a:t>2 ))/√((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US" sz="1100" b="0" i="0">
                  <a:latin typeface="Cambria Math" panose="02040503050406030204" pitchFamily="18" charset="0"/>
                </a:rPr>
                <a:t>1^2)/𝑛_1 +(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US" sz="1100" b="0" i="0">
                  <a:latin typeface="Cambria Math" panose="02040503050406030204" pitchFamily="18" charset="0"/>
                </a:rPr>
                <a:t>2^2)/𝑛_2 )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114300</xdr:rowOff>
        </xdr:from>
        <xdr:to>
          <xdr:col>5</xdr:col>
          <xdr:colOff>133350</xdr:colOff>
          <xdr:row>0</xdr:row>
          <xdr:rowOff>666750</xdr:rowOff>
        </xdr:to>
        <xdr:sp macro="" textlink="">
          <xdr:nvSpPr>
            <xdr:cNvPr id="2049" name="btn2zpp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33337</xdr:colOff>
      <xdr:row>11</xdr:row>
      <xdr:rowOff>28575</xdr:rowOff>
    </xdr:from>
    <xdr:ext cx="232756" cy="347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3052762" y="2809875"/>
              <a:ext cx="232756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511FBD2C-2712-415C-B24F-45BAD723FAC4}"/>
                </a:ext>
              </a:extLst>
            </xdr:cNvPr>
            <xdr:cNvSpPr txBox="1"/>
          </xdr:nvSpPr>
          <xdr:spPr>
            <a:xfrm>
              <a:off x="3052762" y="2809875"/>
              <a:ext cx="232756" cy="347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𝑋_2 ) ̅</a:t>
              </a:r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133350</xdr:rowOff>
        </xdr:from>
        <xdr:to>
          <xdr:col>13</xdr:col>
          <xdr:colOff>161925</xdr:colOff>
          <xdr:row>0</xdr:row>
          <xdr:rowOff>438150</xdr:rowOff>
        </xdr:to>
        <xdr:sp macro="" textlink="">
          <xdr:nvSpPr>
            <xdr:cNvPr id="2050" name="btnBac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9</xdr:row>
      <xdr:rowOff>85725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438525" y="26574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4</xdr:col>
      <xdr:colOff>333375</xdr:colOff>
      <xdr:row>0</xdr:row>
      <xdr:rowOff>133350</xdr:rowOff>
    </xdr:from>
    <xdr:to>
      <xdr:col>7</xdr:col>
      <xdr:colOff>142875</xdr:colOff>
      <xdr:row>0</xdr:row>
      <xdr:rowOff>628650</xdr:rowOff>
    </xdr:to>
    <xdr:sp macro="" textlink="">
      <xdr:nvSpPr>
        <xdr:cNvPr id="3" name="btn1zppp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076575" y="133350"/>
          <a:ext cx="1609725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</xdr:col>
      <xdr:colOff>38100</xdr:colOff>
      <xdr:row>0</xdr:row>
      <xdr:rowOff>0</xdr:rowOff>
    </xdr:from>
    <xdr:ext cx="1295400" cy="8477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400175" y="0"/>
              <a:ext cx="1295400" cy="8477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400" b="0" i="1" baseline="0">
                      <a:latin typeface="Cambria Math" panose="02040503050406030204" pitchFamily="18" charset="0"/>
                    </a:rPr>
                    <m:t>𝑧</m:t>
                  </m:r>
                  <m:r>
                    <a:rPr lang="en-US" sz="24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24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acc>
                        <m:accPr>
                          <m:chr m:val="̂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2400" b="0" i="1" baseline="0">
                              <a:latin typeface="Cambria Math" panose="02040503050406030204" pitchFamily="18" charset="0"/>
                            </a:rPr>
                            <m:t>𝑝</m:t>
                          </m:r>
                        </m:e>
                      </m:acc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𝑝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f>
                            <m:fPr>
                              <m:ctrlP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𝑝𝑞</m:t>
                              </m:r>
                            </m:num>
                            <m:den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den>
                          </m:f>
                        </m:e>
                      </m:rad>
                    </m:den>
                  </m:f>
                </m:oMath>
              </a14:m>
              <a:r>
                <a:rPr lang="en-US" sz="2400" baseline="0"/>
                <a:t> </a:t>
              </a:r>
              <a:endParaRPr lang="en-US" sz="2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AC41C92-592F-4599-B8A9-ACED9F7DB10B}"/>
                </a:ext>
              </a:extLst>
            </xdr:cNvPr>
            <xdr:cNvSpPr txBox="1"/>
          </xdr:nvSpPr>
          <xdr:spPr>
            <a:xfrm>
              <a:off x="1400175" y="0"/>
              <a:ext cx="1295400" cy="8477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0" i="0" baseline="0">
                  <a:latin typeface="Cambria Math" panose="02040503050406030204" pitchFamily="18" charset="0"/>
                </a:rPr>
                <a:t>𝑧=  (𝑝 ̂  − 𝑝)/√(𝑝𝑞/𝑛)</a:t>
              </a:r>
              <a:r>
                <a:rPr lang="en-US" sz="2400" baseline="0"/>
                <a:t> </a:t>
              </a:r>
              <a:endParaRPr lang="en-US" sz="2400"/>
            </a:p>
          </xdr:txBody>
        </xdr:sp>
      </mc:Fallback>
    </mc:AlternateContent>
    <xdr:clientData/>
  </xdr:oneCellAnchor>
  <xdr:oneCellAnchor>
    <xdr:from>
      <xdr:col>2</xdr:col>
      <xdr:colOff>52387</xdr:colOff>
      <xdr:row>10</xdr:row>
      <xdr:rowOff>28575</xdr:rowOff>
    </xdr:from>
    <xdr:ext cx="1122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052512" y="2809875"/>
              <a:ext cx="1122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̀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4AFB64C-1444-4769-B124-FEC279A973CB}"/>
                </a:ext>
              </a:extLst>
            </xdr:cNvPr>
            <xdr:cNvSpPr txBox="1"/>
          </xdr:nvSpPr>
          <xdr:spPr>
            <a:xfrm>
              <a:off x="1052512" y="2809875"/>
              <a:ext cx="1122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𝑝 ̀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80962</xdr:colOff>
      <xdr:row>8</xdr:row>
      <xdr:rowOff>28575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52637" y="21717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D58B8B3-5238-49DF-9621-1850093A743C}"/>
                </a:ext>
              </a:extLst>
            </xdr:cNvPr>
            <xdr:cNvSpPr txBox="1"/>
          </xdr:nvSpPr>
          <xdr:spPr>
            <a:xfrm>
              <a:off x="2052637" y="21717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457700" y="306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133350</xdr:rowOff>
        </xdr:from>
        <xdr:to>
          <xdr:col>6</xdr:col>
          <xdr:colOff>142875</xdr:colOff>
          <xdr:row>0</xdr:row>
          <xdr:rowOff>628650</xdr:rowOff>
        </xdr:to>
        <xdr:sp macro="" textlink="">
          <xdr:nvSpPr>
            <xdr:cNvPr id="10241" name="btn1zppp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276225</xdr:colOff>
      <xdr:row>0</xdr:row>
      <xdr:rowOff>0</xdr:rowOff>
    </xdr:from>
    <xdr:ext cx="1295400" cy="8477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276225" y="0"/>
              <a:ext cx="1295400" cy="8477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400" b="0" i="1" baseline="0">
                      <a:latin typeface="Cambria Math" panose="02040503050406030204" pitchFamily="18" charset="0"/>
                    </a:rPr>
                    <m:t>𝑧</m:t>
                  </m:r>
                  <m:r>
                    <a:rPr lang="en-US" sz="2400" b="0" i="1" baseline="0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2400" b="0" i="1" baseline="0">
                          <a:latin typeface="Cambria Math" panose="02040503050406030204" pitchFamily="18" charset="0"/>
                        </a:rPr>
                      </m:ctrlPr>
                    </m:fPr>
                    <m:num>
                      <m:acc>
                        <m:accPr>
                          <m:chr m:val="̂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2400" b="0" i="1" baseline="0">
                              <a:latin typeface="Cambria Math" panose="02040503050406030204" pitchFamily="18" charset="0"/>
                            </a:rPr>
                            <m:t>𝑝</m:t>
                          </m:r>
                        </m:e>
                      </m:acc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a:rPr lang="en-US" sz="2400" b="0" i="1" baseline="0">
                          <a:latin typeface="Cambria Math" panose="02040503050406030204" pitchFamily="18" charset="0"/>
                        </a:rPr>
                        <m:t>𝑝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2400" b="0" i="1" baseline="0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f>
                            <m:fPr>
                              <m:ctrlP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𝑝𝑞</m:t>
                              </m:r>
                            </m:num>
                            <m:den>
                              <m:r>
                                <a:rPr lang="en-US" sz="2400" b="0" i="1" baseline="0">
                                  <a:latin typeface="Cambria Math" panose="02040503050406030204" pitchFamily="18" charset="0"/>
                                </a:rPr>
                                <m:t>𝑛</m:t>
                              </m:r>
                            </m:den>
                          </m:f>
                        </m:e>
                      </m:rad>
                    </m:den>
                  </m:f>
                </m:oMath>
              </a14:m>
              <a:r>
                <a:rPr lang="en-US" sz="2400" baseline="0"/>
                <a:t> </a:t>
              </a:r>
              <a:endParaRPr lang="en-US" sz="2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A3C84A17-7614-453E-B504-E6C0BDB7C9A8}"/>
                </a:ext>
              </a:extLst>
            </xdr:cNvPr>
            <xdr:cNvSpPr txBox="1"/>
          </xdr:nvSpPr>
          <xdr:spPr>
            <a:xfrm>
              <a:off x="276225" y="0"/>
              <a:ext cx="1295400" cy="8477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400" b="0" i="0" baseline="0">
                  <a:latin typeface="Cambria Math" panose="02040503050406030204" pitchFamily="18" charset="0"/>
                </a:rPr>
                <a:t>𝑧=  (𝑝 ̂  − 𝑝)/√(𝑝𝑞/𝑛)</a:t>
              </a:r>
              <a:r>
                <a:rPr lang="en-US" sz="2400" baseline="0"/>
                <a:t> </a:t>
              </a:r>
              <a:endParaRPr lang="en-US" sz="2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0</xdr:row>
          <xdr:rowOff>133350</xdr:rowOff>
        </xdr:from>
        <xdr:to>
          <xdr:col>13</xdr:col>
          <xdr:colOff>152400</xdr:colOff>
          <xdr:row>0</xdr:row>
          <xdr:rowOff>438150</xdr:rowOff>
        </xdr:to>
        <xdr:sp macro="" textlink="">
          <xdr:nvSpPr>
            <xdr:cNvPr id="10242" name="btnBack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80962</xdr:colOff>
      <xdr:row>8</xdr:row>
      <xdr:rowOff>28575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100387" y="260985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13A2FBD-DB85-4B5F-920C-EA84D69E4714}"/>
                </a:ext>
              </a:extLst>
            </xdr:cNvPr>
            <xdr:cNvSpPr txBox="1"/>
          </xdr:nvSpPr>
          <xdr:spPr>
            <a:xfrm>
              <a:off x="3100387" y="260985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172325" y="306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114300</xdr:rowOff>
        </xdr:from>
        <xdr:to>
          <xdr:col>6</xdr:col>
          <xdr:colOff>76200</xdr:colOff>
          <xdr:row>0</xdr:row>
          <xdr:rowOff>609600</xdr:rowOff>
        </xdr:to>
        <xdr:sp macro="" textlink="">
          <xdr:nvSpPr>
            <xdr:cNvPr id="3073" name="btn2ti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52387</xdr:colOff>
      <xdr:row>9</xdr:row>
      <xdr:rowOff>28575</xdr:rowOff>
    </xdr:from>
    <xdr:ext cx="18203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3071812" y="2371725"/>
              <a:ext cx="18203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 b="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77CE968-47B4-47CD-A0C3-62484F31CE83}"/>
                </a:ext>
              </a:extLst>
            </xdr:cNvPr>
            <xdr:cNvSpPr txBox="1"/>
          </xdr:nvSpPr>
          <xdr:spPr>
            <a:xfrm>
              <a:off x="3071812" y="2371725"/>
              <a:ext cx="18203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𝑋_2 ) ̅</a:t>
              </a:r>
              <a:endParaRPr lang="en-US" sz="1100" b="0"/>
            </a:p>
          </xdr:txBody>
        </xdr:sp>
      </mc:Fallback>
    </mc:AlternateContent>
    <xdr:clientData/>
  </xdr:oneCellAnchor>
  <xdr:twoCellAnchor editAs="oneCell">
    <xdr:from>
      <xdr:col>0</xdr:col>
      <xdr:colOff>161926</xdr:colOff>
      <xdr:row>0</xdr:row>
      <xdr:rowOff>47625</xdr:rowOff>
    </xdr:from>
    <xdr:to>
      <xdr:col>3</xdr:col>
      <xdr:colOff>85726</xdr:colOff>
      <xdr:row>0</xdr:row>
      <xdr:rowOff>703563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6" y="47625"/>
          <a:ext cx="1466850" cy="6559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0</xdr:row>
          <xdr:rowOff>142875</xdr:rowOff>
        </xdr:from>
        <xdr:to>
          <xdr:col>13</xdr:col>
          <xdr:colOff>152400</xdr:colOff>
          <xdr:row>0</xdr:row>
          <xdr:rowOff>447675</xdr:rowOff>
        </xdr:to>
        <xdr:sp macro="" textlink="">
          <xdr:nvSpPr>
            <xdr:cNvPr id="3074" name="btnBack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80962</xdr:colOff>
      <xdr:row>8</xdr:row>
      <xdr:rowOff>28575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3100387" y="21717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DC31A1-3539-413E-98E0-841E3694593E}"/>
                </a:ext>
              </a:extLst>
            </xdr:cNvPr>
            <xdr:cNvSpPr txBox="1"/>
          </xdr:nvSpPr>
          <xdr:spPr>
            <a:xfrm>
              <a:off x="3100387" y="21717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172325" y="3105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133350</xdr:rowOff>
        </xdr:from>
        <xdr:to>
          <xdr:col>6</xdr:col>
          <xdr:colOff>142875</xdr:colOff>
          <xdr:row>0</xdr:row>
          <xdr:rowOff>628650</xdr:rowOff>
        </xdr:to>
        <xdr:sp macro="" textlink="">
          <xdr:nvSpPr>
            <xdr:cNvPr id="5121" name="btn1zppm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276226</xdr:colOff>
      <xdr:row>0</xdr:row>
      <xdr:rowOff>66675</xdr:rowOff>
    </xdr:from>
    <xdr:ext cx="1466850" cy="704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276226" y="66675"/>
              <a:ext cx="14668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 baseline="0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600" b="0" i="1" baseline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600" b="0" i="1" baseline="0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600" b="0" i="1" baseline="0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600" b="0" i="1" baseline="0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6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6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6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6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600" baseline="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6BA1515-B20B-4925-B960-F975698C7BBB}"/>
                </a:ext>
              </a:extLst>
            </xdr:cNvPr>
            <xdr:cNvSpPr txBox="1"/>
          </xdr:nvSpPr>
          <xdr:spPr>
            <a:xfrm>
              <a:off x="276226" y="66675"/>
              <a:ext cx="1466850" cy="7048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600" b="0" i="0" baseline="0">
                  <a:latin typeface="Cambria Math" panose="02040503050406030204" pitchFamily="18" charset="0"/>
                </a:rPr>
                <a:t>𝑧=</a:t>
              </a:r>
              <a:r>
                <a:rPr lang="en-US" sz="16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600" b="0" i="0" baseline="0">
                  <a:latin typeface="Cambria Math" panose="02040503050406030204" pitchFamily="18" charset="0"/>
                </a:rPr>
                <a:t>𝑥 ̅  − </a:t>
              </a:r>
              <a:r>
                <a:rPr lang="en-US" sz="16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𝜇)/(𝜎/√𝑛)</a:t>
              </a:r>
              <a:endParaRPr lang="en-US" sz="1600" baseline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152400</xdr:rowOff>
        </xdr:from>
        <xdr:to>
          <xdr:col>13</xdr:col>
          <xdr:colOff>180975</xdr:colOff>
          <xdr:row>0</xdr:row>
          <xdr:rowOff>457200</xdr:rowOff>
        </xdr:to>
        <xdr:sp macro="" textlink="">
          <xdr:nvSpPr>
            <xdr:cNvPr id="5122" name="btnBack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52387</xdr:colOff>
      <xdr:row>7</xdr:row>
      <xdr:rowOff>19050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F2A21D9-5FAA-44D7-A7CF-6F5D2029ED21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4457700" y="306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133350</xdr:rowOff>
        </xdr:from>
        <xdr:to>
          <xdr:col>6</xdr:col>
          <xdr:colOff>142875</xdr:colOff>
          <xdr:row>0</xdr:row>
          <xdr:rowOff>628650</xdr:rowOff>
        </xdr:to>
        <xdr:sp macro="" textlink="">
          <xdr:nvSpPr>
            <xdr:cNvPr id="6145" name="btn1Zm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295275</xdr:colOff>
      <xdr:row>0</xdr:row>
      <xdr:rowOff>0</xdr:rowOff>
    </xdr:from>
    <xdr:ext cx="1158586" cy="7648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295275" y="0"/>
              <a:ext cx="115858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𝑧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6B3A88AE-8ABF-4FED-B545-0118DF8EAD78}"/>
                </a:ext>
              </a:extLst>
            </xdr:cNvPr>
            <xdr:cNvSpPr txBox="1"/>
          </xdr:nvSpPr>
          <xdr:spPr>
            <a:xfrm>
              <a:off x="295275" y="0"/>
              <a:ext cx="115858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𝑧=  (𝑥 ̅ 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</a:t>
              </a:r>
              <a:r>
                <a:rPr lang="en-US" sz="1800" b="0" i="0">
                  <a:latin typeface="Cambria Math" panose="02040503050406030204" pitchFamily="18" charset="0"/>
                </a:rPr>
                <a:t>𝑠/√𝑛)</a:t>
              </a:r>
              <a:endParaRPr 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657225</xdr:colOff>
          <xdr:row>0</xdr:row>
          <xdr:rowOff>152400</xdr:rowOff>
        </xdr:from>
        <xdr:to>
          <xdr:col>13</xdr:col>
          <xdr:colOff>133350</xdr:colOff>
          <xdr:row>0</xdr:row>
          <xdr:rowOff>457200</xdr:rowOff>
        </xdr:to>
        <xdr:sp macro="" textlink="">
          <xdr:nvSpPr>
            <xdr:cNvPr id="6146" name="btnBack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52387</xdr:colOff>
      <xdr:row>7</xdr:row>
      <xdr:rowOff>19050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51AE7B-C5A3-422D-812D-4B98CD587023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4457700" y="3086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133350</xdr:rowOff>
        </xdr:from>
        <xdr:to>
          <xdr:col>6</xdr:col>
          <xdr:colOff>142875</xdr:colOff>
          <xdr:row>0</xdr:row>
          <xdr:rowOff>628650</xdr:rowOff>
        </xdr:to>
        <xdr:sp macro="" textlink="">
          <xdr:nvSpPr>
            <xdr:cNvPr id="8193" name="btn1Tm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228600</xdr:colOff>
      <xdr:row>0</xdr:row>
      <xdr:rowOff>38100</xdr:rowOff>
    </xdr:from>
    <xdr:ext cx="1139736" cy="7648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228600" y="38100"/>
              <a:ext cx="113973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̅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acc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BB8A5B8-8777-4716-A6FD-4CFB67A3880B}"/>
                </a:ext>
              </a:extLst>
            </xdr:cNvPr>
            <xdr:cNvSpPr txBox="1"/>
          </xdr:nvSpPr>
          <xdr:spPr>
            <a:xfrm>
              <a:off x="228600" y="38100"/>
              <a:ext cx="1139736" cy="764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𝑡=  (𝑥 ̅ 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𝜇)/(</a:t>
              </a:r>
              <a:r>
                <a:rPr lang="en-US" sz="1800" b="0" i="0">
                  <a:latin typeface="Cambria Math" panose="02040503050406030204" pitchFamily="18" charset="0"/>
                </a:rPr>
                <a:t>𝑠/√𝑛)</a:t>
              </a:r>
              <a:endParaRPr 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133350</xdr:rowOff>
        </xdr:from>
        <xdr:to>
          <xdr:col>13</xdr:col>
          <xdr:colOff>161925</xdr:colOff>
          <xdr:row>0</xdr:row>
          <xdr:rowOff>438150</xdr:rowOff>
        </xdr:to>
        <xdr:sp macro="" textlink="">
          <xdr:nvSpPr>
            <xdr:cNvPr id="8194" name="btnBa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52387</xdr:colOff>
      <xdr:row>7</xdr:row>
      <xdr:rowOff>19050</xdr:rowOff>
    </xdr:from>
    <xdr:ext cx="178767" cy="1751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2B671A5-4191-4501-93FE-EF193291A13A}"/>
                </a:ext>
              </a:extLst>
            </xdr:cNvPr>
            <xdr:cNvSpPr txBox="1"/>
          </xdr:nvSpPr>
          <xdr:spPr>
            <a:xfrm>
              <a:off x="2024062" y="1943100"/>
              <a:ext cx="178767" cy="1751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𝑋_1 )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12</xdr:row>
      <xdr:rowOff>85725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4457700" y="3086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133350</xdr:rowOff>
        </xdr:from>
        <xdr:to>
          <xdr:col>5</xdr:col>
          <xdr:colOff>819150</xdr:colOff>
          <xdr:row>0</xdr:row>
          <xdr:rowOff>628650</xdr:rowOff>
        </xdr:to>
        <xdr:sp macro="" textlink="">
          <xdr:nvSpPr>
            <xdr:cNvPr id="9217" name="btn2Td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209550</xdr:colOff>
      <xdr:row>0</xdr:row>
      <xdr:rowOff>19050</xdr:rowOff>
    </xdr:from>
    <xdr:ext cx="1267398" cy="7809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209550" y="19050"/>
              <a:ext cx="1267398" cy="780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𝜇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sub>
                        </m:sSub>
                      </m:num>
                      <m:den>
                        <m:f>
                          <m:f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  <m:sub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sub>
                            </m:sSub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rad>
                          </m:den>
                        </m:f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0283D5C-331A-40B3-BD3B-93A83389D45C}"/>
                </a:ext>
              </a:extLst>
            </xdr:cNvPr>
            <xdr:cNvSpPr txBox="1"/>
          </xdr:nvSpPr>
          <xdr:spPr>
            <a:xfrm>
              <a:off x="209550" y="19050"/>
              <a:ext cx="1267398" cy="7809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𝑡=  (𝑑 − 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n-US" sz="1800" b="0" i="0">
                  <a:latin typeface="Cambria Math" panose="02040503050406030204" pitchFamily="18" charset="0"/>
                </a:rPr>
                <a:t>𝑑)/(𝑠_𝑑/√𝑛)</a:t>
              </a:r>
              <a:endParaRPr 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657225</xdr:colOff>
          <xdr:row>0</xdr:row>
          <xdr:rowOff>95250</xdr:rowOff>
        </xdr:from>
        <xdr:to>
          <xdr:col>12</xdr:col>
          <xdr:colOff>819150</xdr:colOff>
          <xdr:row>0</xdr:row>
          <xdr:rowOff>400050</xdr:rowOff>
        </xdr:to>
        <xdr:sp macro="" textlink="">
          <xdr:nvSpPr>
            <xdr:cNvPr id="9218" name="btnBack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21.emf"/><Relationship Id="rId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A535F-0A90-6244-A3AC-D8D29F37716D}">
  <sheetPr codeName="wks_TestSelection"/>
  <dimension ref="C3:X17"/>
  <sheetViews>
    <sheetView showGridLines="0" topLeftCell="A2" zoomScale="70" zoomScaleNormal="70" workbookViewId="0">
      <selection activeCell="F8" sqref="F8"/>
    </sheetView>
  </sheetViews>
  <sheetFormatPr defaultColWidth="10.875" defaultRowHeight="15.75" x14ac:dyDescent="0.25"/>
  <cols>
    <col min="1" max="2" width="10.875" style="2"/>
    <col min="3" max="3" width="12.625" style="2" bestFit="1" customWidth="1"/>
    <col min="4" max="4" width="10.875" style="2"/>
    <col min="5" max="5" width="20.125" style="2" customWidth="1"/>
    <col min="6" max="6" width="10.875" style="2"/>
    <col min="7" max="7" width="23" style="2" customWidth="1"/>
    <col min="8" max="8" width="43" style="2" customWidth="1"/>
    <col min="9" max="9" width="10.875" style="2"/>
    <col min="10" max="10" width="16.5" style="2" customWidth="1"/>
    <col min="11" max="19" width="10.875" style="2"/>
    <col min="20" max="20" width="37.5" style="2" customWidth="1"/>
    <col min="21" max="21" width="50.875" style="2" customWidth="1"/>
    <col min="22" max="22" width="23.875" style="2" customWidth="1"/>
    <col min="23" max="16384" width="10.875" style="2"/>
  </cols>
  <sheetData>
    <row r="3" spans="3:24" ht="20.100000000000001" customHeight="1" x14ac:dyDescent="0.25"/>
    <row r="4" spans="3:24" ht="60" customHeight="1" x14ac:dyDescent="0.2">
      <c r="C4" s="1" t="s">
        <v>11</v>
      </c>
      <c r="D4" s="2" t="s">
        <v>0</v>
      </c>
      <c r="E4" s="1" t="s">
        <v>7</v>
      </c>
      <c r="F4" s="2" t="s">
        <v>0</v>
      </c>
      <c r="H4" s="1" t="s">
        <v>1</v>
      </c>
      <c r="I4" s="2" t="s">
        <v>0</v>
      </c>
      <c r="J4" s="3"/>
      <c r="S4" s="2" t="s">
        <v>14</v>
      </c>
      <c r="T4" s="2" t="s">
        <v>17</v>
      </c>
      <c r="U4" s="4" t="s">
        <v>16</v>
      </c>
      <c r="V4" s="2" t="s">
        <v>31</v>
      </c>
    </row>
    <row r="5" spans="3:24" ht="39.950000000000003" customHeight="1" x14ac:dyDescent="0.2">
      <c r="C5" s="2" t="s">
        <v>6</v>
      </c>
      <c r="E5" s="2" t="s">
        <v>2</v>
      </c>
      <c r="H5" s="2" t="s">
        <v>2</v>
      </c>
      <c r="S5" s="2" t="s">
        <v>12</v>
      </c>
      <c r="T5" s="2" t="s">
        <v>13</v>
      </c>
      <c r="U5" s="4" t="s">
        <v>15</v>
      </c>
    </row>
    <row r="6" spans="3:24" ht="72" customHeight="1" x14ac:dyDescent="5.55">
      <c r="E6" s="1" t="s">
        <v>36</v>
      </c>
      <c r="F6" s="2" t="s">
        <v>35</v>
      </c>
      <c r="G6" s="3"/>
      <c r="H6" s="1" t="s">
        <v>9</v>
      </c>
      <c r="I6" s="2" t="s">
        <v>0</v>
      </c>
      <c r="J6" s="3"/>
      <c r="S6" s="5" t="s">
        <v>18</v>
      </c>
      <c r="T6" s="2" t="s">
        <v>19</v>
      </c>
      <c r="U6" s="2" t="s">
        <v>20</v>
      </c>
    </row>
    <row r="7" spans="3:24" ht="39.950000000000003" customHeight="1" x14ac:dyDescent="0.25">
      <c r="E7" s="2" t="s">
        <v>6</v>
      </c>
      <c r="S7" s="2" t="s">
        <v>21</v>
      </c>
      <c r="T7" s="2" t="s">
        <v>22</v>
      </c>
    </row>
    <row r="8" spans="3:24" ht="99.95" customHeight="1" x14ac:dyDescent="4.8499999999999996">
      <c r="E8" s="3"/>
      <c r="S8" s="6" t="s">
        <v>23</v>
      </c>
      <c r="T8" s="2" t="s">
        <v>32</v>
      </c>
    </row>
    <row r="9" spans="3:24" ht="90" customHeight="1" x14ac:dyDescent="4.8499999999999996">
      <c r="C9" s="1" t="s">
        <v>3</v>
      </c>
      <c r="D9" s="2" t="s">
        <v>0</v>
      </c>
      <c r="E9" s="1" t="s">
        <v>10</v>
      </c>
      <c r="F9" s="2" t="s">
        <v>0</v>
      </c>
      <c r="H9" s="3"/>
      <c r="S9" s="6" t="s">
        <v>24</v>
      </c>
      <c r="T9" s="2" t="s">
        <v>25</v>
      </c>
    </row>
    <row r="10" spans="3:24" ht="39.950000000000003" customHeight="1" x14ac:dyDescent="7.4">
      <c r="C10" s="2" t="s">
        <v>8</v>
      </c>
      <c r="E10" s="2" t="s">
        <v>2</v>
      </c>
      <c r="S10" s="7" t="s">
        <v>26</v>
      </c>
      <c r="T10" s="2" t="s">
        <v>27</v>
      </c>
    </row>
    <row r="11" spans="3:24" ht="39.950000000000003" customHeight="1" x14ac:dyDescent="7.4">
      <c r="S11" s="7" t="s">
        <v>28</v>
      </c>
      <c r="T11" s="2" t="s">
        <v>37</v>
      </c>
    </row>
    <row r="12" spans="3:24" ht="96" customHeight="1" x14ac:dyDescent="0.25">
      <c r="C12" s="3" t="s">
        <v>4</v>
      </c>
      <c r="E12" s="1" t="s">
        <v>5</v>
      </c>
      <c r="F12" s="2" t="s">
        <v>0</v>
      </c>
      <c r="H12" s="3"/>
      <c r="T12" s="2" t="s">
        <v>29</v>
      </c>
    </row>
    <row r="13" spans="3:24" ht="39.950000000000003" customHeight="1" x14ac:dyDescent="0.25">
      <c r="E13" s="2" t="s">
        <v>2</v>
      </c>
      <c r="T13" s="2" t="s">
        <v>30</v>
      </c>
      <c r="X13"/>
    </row>
    <row r="14" spans="3:24" ht="66" customHeight="1" x14ac:dyDescent="0.25">
      <c r="E14" s="3"/>
      <c r="S14" s="2" t="s">
        <v>33</v>
      </c>
      <c r="T14" s="2" t="s">
        <v>34</v>
      </c>
    </row>
    <row r="15" spans="3:24" ht="48" customHeight="1" x14ac:dyDescent="0.25">
      <c r="S15" s="2" t="s">
        <v>38</v>
      </c>
      <c r="T15" s="2" t="s">
        <v>39</v>
      </c>
    </row>
    <row r="16" spans="3:24" ht="78.95" customHeight="1" x14ac:dyDescent="0.25">
      <c r="S16" s="2" t="s">
        <v>40</v>
      </c>
      <c r="T16" s="2" t="s">
        <v>41</v>
      </c>
    </row>
    <row r="17" spans="23:23" x14ac:dyDescent="0.25">
      <c r="W1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2tis">
          <controlPr defaultSize="0" autoLine="0" autoPict="0" r:id="rId4">
            <anchor moveWithCells="1">
              <from>
                <xdr:col>7</xdr:col>
                <xdr:colOff>47625</xdr:colOff>
                <xdr:row>11</xdr:row>
                <xdr:rowOff>47625</xdr:rowOff>
              </from>
              <to>
                <xdr:col>7</xdr:col>
                <xdr:colOff>3190875</xdr:colOff>
                <xdr:row>12</xdr:row>
                <xdr:rowOff>9525</xdr:rowOff>
              </to>
            </anchor>
          </controlPr>
        </control>
      </mc:Choice>
      <mc:Fallback>
        <control shapeId="1026" r:id="rId3" name="cb2tis"/>
      </mc:Fallback>
    </mc:AlternateContent>
    <mc:AlternateContent xmlns:mc="http://schemas.openxmlformats.org/markup-compatibility/2006">
      <mc:Choice Requires="x14">
        <control shapeId="1025" r:id="rId5" name="cb2zpp">
          <controlPr defaultSize="0" autoLine="0" autoPict="0" r:id="rId6">
            <anchor moveWithCells="1">
              <from>
                <xdr:col>7</xdr:col>
                <xdr:colOff>76200</xdr:colOff>
                <xdr:row>8</xdr:row>
                <xdr:rowOff>57150</xdr:rowOff>
              </from>
              <to>
                <xdr:col>7</xdr:col>
                <xdr:colOff>3171825</xdr:colOff>
                <xdr:row>8</xdr:row>
                <xdr:rowOff>1104900</xdr:rowOff>
              </to>
            </anchor>
          </controlPr>
        </control>
      </mc:Choice>
      <mc:Fallback>
        <control shapeId="1025" r:id="rId5" name="cb2zpp"/>
      </mc:Fallback>
    </mc:AlternateContent>
    <mc:AlternateContent xmlns:mc="http://schemas.openxmlformats.org/markup-compatibility/2006">
      <mc:Choice Requires="x14">
        <control shapeId="1027" r:id="rId7" name="cb1zppm">
          <controlPr defaultSize="0" autoLine="0" autoPict="0" r:id="rId8">
            <anchor moveWithCells="1">
              <from>
                <xdr:col>9</xdr:col>
                <xdr:colOff>19050</xdr:colOff>
                <xdr:row>3</xdr:row>
                <xdr:rowOff>38100</xdr:rowOff>
              </from>
              <to>
                <xdr:col>9</xdr:col>
                <xdr:colOff>1238250</xdr:colOff>
                <xdr:row>3</xdr:row>
                <xdr:rowOff>704850</xdr:rowOff>
              </to>
            </anchor>
          </controlPr>
        </control>
      </mc:Choice>
      <mc:Fallback>
        <control shapeId="1027" r:id="rId7" name="cb1zppm"/>
      </mc:Fallback>
    </mc:AlternateContent>
    <mc:AlternateContent xmlns:mc="http://schemas.openxmlformats.org/markup-compatibility/2006">
      <mc:Choice Requires="x14">
        <control shapeId="1028" r:id="rId9" name="cb1zm">
          <controlPr defaultSize="0" autoLine="0" r:id="rId10">
            <anchor moveWithCells="1">
              <from>
                <xdr:col>6</xdr:col>
                <xdr:colOff>123825</xdr:colOff>
                <xdr:row>5</xdr:row>
                <xdr:rowOff>57150</xdr:rowOff>
              </from>
              <to>
                <xdr:col>6</xdr:col>
                <xdr:colOff>1638300</xdr:colOff>
                <xdr:row>5</xdr:row>
                <xdr:rowOff>885825</xdr:rowOff>
              </to>
            </anchor>
          </controlPr>
        </control>
      </mc:Choice>
      <mc:Fallback>
        <control shapeId="1028" r:id="rId9" name="cb1zm"/>
      </mc:Fallback>
    </mc:AlternateContent>
    <mc:AlternateContent xmlns:mc="http://schemas.openxmlformats.org/markup-compatibility/2006">
      <mc:Choice Requires="x14">
        <control shapeId="1029" r:id="rId11" name="cb1tm">
          <controlPr defaultSize="0" autoLine="0" r:id="rId12">
            <anchor moveWithCells="1">
              <from>
                <xdr:col>4</xdr:col>
                <xdr:colOff>66675</xdr:colOff>
                <xdr:row>7</xdr:row>
                <xdr:rowOff>142875</xdr:rowOff>
              </from>
              <to>
                <xdr:col>4</xdr:col>
                <xdr:colOff>1409700</xdr:colOff>
                <xdr:row>7</xdr:row>
                <xdr:rowOff>1228725</xdr:rowOff>
              </to>
            </anchor>
          </controlPr>
        </control>
      </mc:Choice>
      <mc:Fallback>
        <control shapeId="1029" r:id="rId11" name="cb1tm"/>
      </mc:Fallback>
    </mc:AlternateContent>
    <mc:AlternateContent xmlns:mc="http://schemas.openxmlformats.org/markup-compatibility/2006">
      <mc:Choice Requires="x14">
        <control shapeId="1030" r:id="rId13" name="cb2td">
          <controlPr defaultSize="0" autoLine="0" autoPict="0" r:id="rId14">
            <anchor moveWithCells="1">
              <from>
                <xdr:col>4</xdr:col>
                <xdr:colOff>66675</xdr:colOff>
                <xdr:row>13</xdr:row>
                <xdr:rowOff>28575</xdr:rowOff>
              </from>
              <to>
                <xdr:col>4</xdr:col>
                <xdr:colOff>1447800</xdr:colOff>
                <xdr:row>13</xdr:row>
                <xdr:rowOff>800100</xdr:rowOff>
              </to>
            </anchor>
          </controlPr>
        </control>
      </mc:Choice>
      <mc:Fallback>
        <control shapeId="1030" r:id="rId13" name="cb2td"/>
      </mc:Fallback>
    </mc:AlternateContent>
    <mc:AlternateContent xmlns:mc="http://schemas.openxmlformats.org/markup-compatibility/2006">
      <mc:Choice Requires="x14">
        <control shapeId="1031" r:id="rId15" name="cb1zppp">
          <controlPr defaultSize="0" autoLine="0" autoPict="0" r:id="rId16">
            <anchor moveWithCells="1">
              <from>
                <xdr:col>9</xdr:col>
                <xdr:colOff>19050</xdr:colOff>
                <xdr:row>5</xdr:row>
                <xdr:rowOff>19050</xdr:rowOff>
              </from>
              <to>
                <xdr:col>9</xdr:col>
                <xdr:colOff>1238250</xdr:colOff>
                <xdr:row>5</xdr:row>
                <xdr:rowOff>866775</xdr:rowOff>
              </to>
            </anchor>
          </controlPr>
        </control>
      </mc:Choice>
      <mc:Fallback>
        <control shapeId="1031" r:id="rId15" name="cb1zpp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F4601-ED9A-47BF-A9E1-4FCC3586C055}">
  <sheetPr codeName="wks_2ZPP"/>
  <dimension ref="A1:K32"/>
  <sheetViews>
    <sheetView showGridLines="0" workbookViewId="0">
      <selection activeCell="B6" sqref="B6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13.75" bestFit="1" customWidth="1"/>
    <col min="5" max="5" width="5.625" customWidth="1"/>
    <col min="6" max="6" width="3.5" customWidth="1"/>
    <col min="7" max="7" width="14.5" bestFit="1" customWidth="1"/>
    <col min="9" max="9" width="5.625" customWidth="1"/>
  </cols>
  <sheetData>
    <row r="1" spans="1:11" ht="63.75" customHeight="1" x14ac:dyDescent="0.25"/>
    <row r="2" spans="1:11" ht="16.5" thickBot="1" x14ac:dyDescent="0.3">
      <c r="A2" s="8"/>
      <c r="B2" s="8"/>
      <c r="C2" s="8"/>
      <c r="D2" s="8"/>
      <c r="E2" s="8"/>
      <c r="F2" s="8"/>
      <c r="G2" s="8"/>
      <c r="H2" s="8"/>
      <c r="I2" s="8"/>
    </row>
    <row r="3" spans="1:11" ht="16.5" thickBot="1" x14ac:dyDescent="0.3">
      <c r="A3" s="8"/>
      <c r="B3" s="10" t="s">
        <v>42</v>
      </c>
      <c r="C3" s="9"/>
      <c r="D3" s="10" t="s">
        <v>43</v>
      </c>
      <c r="E3" s="8"/>
      <c r="F3" s="39" t="s">
        <v>44</v>
      </c>
      <c r="G3" s="40"/>
      <c r="H3" s="41"/>
      <c r="I3" s="8"/>
    </row>
    <row r="4" spans="1:11" ht="4.5" customHeight="1" x14ac:dyDescent="0.25">
      <c r="A4" s="8"/>
      <c r="C4" s="9"/>
      <c r="E4" s="8"/>
      <c r="I4" s="8"/>
    </row>
    <row r="5" spans="1:11" ht="17.25" x14ac:dyDescent="0.3">
      <c r="A5" s="8"/>
      <c r="B5" s="18">
        <v>1</v>
      </c>
      <c r="C5" s="9"/>
      <c r="D5" s="18">
        <v>2</v>
      </c>
      <c r="E5" s="8"/>
      <c r="F5" s="11" t="s">
        <v>45</v>
      </c>
      <c r="G5" s="12" t="s">
        <v>49</v>
      </c>
      <c r="H5" s="13">
        <v>10.5</v>
      </c>
      <c r="I5" s="8"/>
      <c r="K5" s="18"/>
    </row>
    <row r="6" spans="1:11" ht="17.25" x14ac:dyDescent="0.3">
      <c r="A6" s="8"/>
      <c r="B6" s="18">
        <v>10.18</v>
      </c>
      <c r="C6" s="9"/>
      <c r="D6" s="18">
        <v>13.28757866863495</v>
      </c>
      <c r="E6" s="8"/>
      <c r="F6" s="11" t="s">
        <v>46</v>
      </c>
      <c r="G6" s="12" t="s">
        <v>50</v>
      </c>
      <c r="H6" s="13">
        <v>12.5</v>
      </c>
      <c r="I6" s="8"/>
      <c r="K6" s="18"/>
    </row>
    <row r="7" spans="1:11" ht="17.25" x14ac:dyDescent="0.3">
      <c r="A7" s="8"/>
      <c r="B7" s="18">
        <v>10.48</v>
      </c>
      <c r="C7" s="9"/>
      <c r="D7" s="18">
        <v>13.322238916548807</v>
      </c>
      <c r="E7" s="8"/>
      <c r="F7" s="11" t="s">
        <v>47</v>
      </c>
      <c r="G7" s="12" t="s">
        <v>51</v>
      </c>
      <c r="H7" s="13">
        <v>0.5</v>
      </c>
      <c r="I7" s="8"/>
      <c r="K7" s="18"/>
    </row>
    <row r="8" spans="1:11" ht="17.25" x14ac:dyDescent="0.3">
      <c r="A8" s="8"/>
      <c r="B8" s="18">
        <v>10.58</v>
      </c>
      <c r="C8" s="9"/>
      <c r="D8" s="18">
        <v>12.33</v>
      </c>
      <c r="E8" s="8"/>
      <c r="F8" s="11" t="s">
        <v>48</v>
      </c>
      <c r="G8" s="12" t="s">
        <v>52</v>
      </c>
      <c r="H8" s="13">
        <v>0.7</v>
      </c>
      <c r="I8" s="8"/>
      <c r="K8" s="18"/>
    </row>
    <row r="9" spans="1:11" ht="16.5" thickBot="1" x14ac:dyDescent="0.3">
      <c r="A9" s="8"/>
      <c r="B9" s="18">
        <v>10.220000000000001</v>
      </c>
      <c r="C9" s="9"/>
      <c r="D9" s="18">
        <v>13.320449856172649</v>
      </c>
      <c r="E9" s="8"/>
      <c r="F9" s="8"/>
      <c r="G9" s="8"/>
      <c r="H9" s="8"/>
      <c r="I9" s="8"/>
      <c r="K9" s="18"/>
    </row>
    <row r="10" spans="1:11" ht="16.5" thickBot="1" x14ac:dyDescent="0.3">
      <c r="A10" s="8"/>
      <c r="B10" s="18">
        <v>10.81</v>
      </c>
      <c r="C10" s="9"/>
      <c r="D10" s="18">
        <v>12.86</v>
      </c>
      <c r="E10" s="8"/>
      <c r="F10" s="39" t="s">
        <v>53</v>
      </c>
      <c r="G10" s="40"/>
      <c r="H10" s="41"/>
      <c r="I10" s="8"/>
      <c r="K10" s="18"/>
    </row>
    <row r="11" spans="1:11" x14ac:dyDescent="0.25">
      <c r="A11" s="8"/>
      <c r="B11" s="18">
        <v>10.5</v>
      </c>
      <c r="C11" s="9"/>
      <c r="D11" s="18">
        <v>13.279780911365005</v>
      </c>
      <c r="E11" s="8"/>
      <c r="F11" s="14"/>
      <c r="G11" s="15" t="s">
        <v>54</v>
      </c>
      <c r="H11" s="21">
        <v>10.492857142857144</v>
      </c>
      <c r="I11" s="8"/>
      <c r="K11" s="18"/>
    </row>
    <row r="12" spans="1:11" x14ac:dyDescent="0.25">
      <c r="A12" s="8"/>
      <c r="B12" s="18">
        <v>10.8</v>
      </c>
      <c r="C12" s="9"/>
      <c r="D12" s="18">
        <v>13.361679579597897</v>
      </c>
      <c r="E12" s="8"/>
      <c r="F12" s="12"/>
      <c r="G12" s="12" t="s">
        <v>55</v>
      </c>
      <c r="H12" s="22">
        <v>13.123368432668729</v>
      </c>
      <c r="I12" s="8"/>
      <c r="K12" s="18"/>
    </row>
    <row r="13" spans="1:11" ht="18.75" x14ac:dyDescent="0.35">
      <c r="A13" s="8"/>
      <c r="B13" s="18">
        <v>10.02</v>
      </c>
      <c r="C13" s="9"/>
      <c r="D13" s="18">
        <v>12.994317861088202</v>
      </c>
      <c r="E13" s="8"/>
      <c r="F13" s="12" t="s">
        <v>60</v>
      </c>
      <c r="G13" s="12" t="s">
        <v>61</v>
      </c>
      <c r="H13" s="16">
        <v>14</v>
      </c>
      <c r="I13" s="8"/>
      <c r="K13" s="18"/>
    </row>
    <row r="14" spans="1:11" ht="18.75" x14ac:dyDescent="0.35">
      <c r="A14" s="8"/>
      <c r="B14" s="18">
        <v>10.6</v>
      </c>
      <c r="C14" s="9"/>
      <c r="D14" s="18">
        <v>13.825271549259666</v>
      </c>
      <c r="E14" s="8"/>
      <c r="F14" s="19" t="s">
        <v>58</v>
      </c>
      <c r="G14" s="12" t="s">
        <v>59</v>
      </c>
      <c r="H14" s="16">
        <v>12</v>
      </c>
      <c r="I14" s="8"/>
      <c r="K14" s="18"/>
    </row>
    <row r="15" spans="1:11" x14ac:dyDescent="0.25">
      <c r="A15" s="8"/>
      <c r="B15" s="18">
        <v>10.47</v>
      </c>
      <c r="C15" s="9"/>
      <c r="D15" s="18">
        <v>13.358221686174275</v>
      </c>
      <c r="E15" s="8"/>
      <c r="F15" s="12" t="s">
        <v>56</v>
      </c>
      <c r="G15" s="12" t="s">
        <v>57</v>
      </c>
      <c r="H15" s="20">
        <v>-2.6026097400431225</v>
      </c>
      <c r="I15" s="8"/>
      <c r="K15" s="18"/>
    </row>
    <row r="16" spans="1:11" x14ac:dyDescent="0.25">
      <c r="A16" s="8"/>
      <c r="B16" s="18">
        <v>10.7</v>
      </c>
      <c r="C16" s="9"/>
      <c r="D16" s="18">
        <v>12.389136473500701</v>
      </c>
      <c r="E16" s="8"/>
      <c r="F16" s="12"/>
      <c r="G16" s="12"/>
      <c r="H16" s="12"/>
      <c r="I16" s="8"/>
    </row>
    <row r="17" spans="1:9" x14ac:dyDescent="0.25">
      <c r="A17" s="8"/>
      <c r="B17" s="18">
        <v>10.51</v>
      </c>
      <c r="C17" s="9"/>
      <c r="E17" s="8"/>
      <c r="I17" s="8"/>
    </row>
    <row r="18" spans="1:9" x14ac:dyDescent="0.25">
      <c r="A18" s="8"/>
      <c r="B18" s="18">
        <v>10.63</v>
      </c>
      <c r="C18" s="9"/>
      <c r="E18" s="8"/>
      <c r="I18" s="8"/>
    </row>
    <row r="19" spans="1:9" x14ac:dyDescent="0.25">
      <c r="A19" s="8"/>
      <c r="B19" s="18"/>
      <c r="C19" s="9"/>
      <c r="E19" s="8"/>
      <c r="I19" s="8"/>
    </row>
    <row r="20" spans="1:9" x14ac:dyDescent="0.25">
      <c r="A20" s="8"/>
      <c r="C20" s="9"/>
      <c r="E20" s="8"/>
      <c r="I20" s="8"/>
    </row>
    <row r="21" spans="1:9" x14ac:dyDescent="0.25">
      <c r="A21" s="8"/>
      <c r="C21" s="9"/>
      <c r="E21" s="8"/>
      <c r="I21" s="8"/>
    </row>
    <row r="22" spans="1:9" x14ac:dyDescent="0.25">
      <c r="A22" s="8"/>
      <c r="C22" s="9"/>
      <c r="E22" s="8"/>
      <c r="I22" s="8"/>
    </row>
    <row r="23" spans="1:9" x14ac:dyDescent="0.25">
      <c r="A23" s="8"/>
      <c r="C23" s="9"/>
      <c r="E23" s="8"/>
      <c r="I23" s="8"/>
    </row>
    <row r="24" spans="1:9" x14ac:dyDescent="0.25">
      <c r="A24" s="8"/>
      <c r="C24" s="9"/>
      <c r="E24" s="8"/>
      <c r="I24" s="8"/>
    </row>
    <row r="25" spans="1:9" x14ac:dyDescent="0.25">
      <c r="A25" s="8"/>
      <c r="C25" s="9"/>
      <c r="E25" s="8"/>
      <c r="I25" s="8"/>
    </row>
    <row r="26" spans="1:9" x14ac:dyDescent="0.25">
      <c r="A26" s="8"/>
      <c r="C26" s="9"/>
      <c r="E26" s="8"/>
      <c r="I26" s="8"/>
    </row>
    <row r="27" spans="1:9" x14ac:dyDescent="0.25">
      <c r="A27" s="8"/>
      <c r="C27" s="9"/>
      <c r="E27" s="8"/>
      <c r="I27" s="8"/>
    </row>
    <row r="28" spans="1:9" x14ac:dyDescent="0.25">
      <c r="A28" s="8"/>
      <c r="C28" s="9"/>
      <c r="E28" s="8"/>
      <c r="I28" s="8"/>
    </row>
    <row r="29" spans="1:9" x14ac:dyDescent="0.25">
      <c r="A29" s="8"/>
      <c r="C29" s="9"/>
      <c r="E29" s="8"/>
      <c r="I29" s="8"/>
    </row>
    <row r="30" spans="1:9" x14ac:dyDescent="0.25">
      <c r="A30" s="8"/>
      <c r="C30" s="9"/>
      <c r="E30" s="8"/>
      <c r="I30" s="8"/>
    </row>
    <row r="31" spans="1:9" x14ac:dyDescent="0.25">
      <c r="A31" s="8"/>
      <c r="C31" s="9"/>
      <c r="E31" s="8"/>
      <c r="I31" s="8"/>
    </row>
    <row r="32" spans="1:9" x14ac:dyDescent="0.25">
      <c r="A32" s="8"/>
      <c r="C32" s="9"/>
      <c r="E32" s="8"/>
      <c r="I32" s="8"/>
    </row>
  </sheetData>
  <mergeCells count="2">
    <mergeCell ref="F3:H3"/>
    <mergeCell ref="F10:H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Back">
          <controlPr defaultSize="0" autoLine="0" r:id="rId5">
            <anchor moveWithCells="1">
              <from>
                <xdr:col>10</xdr:col>
                <xdr:colOff>0</xdr:colOff>
                <xdr:row>0</xdr:row>
                <xdr:rowOff>133350</xdr:rowOff>
              </from>
              <to>
                <xdr:col>13</xdr:col>
                <xdr:colOff>161925</xdr:colOff>
                <xdr:row>0</xdr:row>
                <xdr:rowOff>438150</xdr:rowOff>
              </to>
            </anchor>
          </controlPr>
        </control>
      </mc:Choice>
      <mc:Fallback>
        <control shapeId="2050" r:id="rId4" name="btnBack"/>
      </mc:Fallback>
    </mc:AlternateContent>
    <mc:AlternateContent xmlns:mc="http://schemas.openxmlformats.org/markup-compatibility/2006">
      <mc:Choice Requires="x14">
        <control shapeId="2049" r:id="rId6" name="btn2zpp">
          <controlPr defaultSize="0" autoLine="0" autoPict="0" r:id="rId7">
            <anchor moveWithCells="1">
              <from>
                <xdr:col>3</xdr:col>
                <xdr:colOff>209550</xdr:colOff>
                <xdr:row>0</xdr:row>
                <xdr:rowOff>114300</xdr:rowOff>
              </from>
              <to>
                <xdr:col>5</xdr:col>
                <xdr:colOff>133350</xdr:colOff>
                <xdr:row>0</xdr:row>
                <xdr:rowOff>666750</xdr:rowOff>
              </to>
            </anchor>
          </controlPr>
        </control>
      </mc:Choice>
      <mc:Fallback>
        <control shapeId="2049" r:id="rId6" name="btn2zp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3BBD-85F9-4F1F-9F03-D1F0346AC5EF}">
  <sheetPr codeName="wks_1ZPPP1"/>
  <dimension ref="B1:H14"/>
  <sheetViews>
    <sheetView showGridLines="0" zoomScaleNormal="100" workbookViewId="0">
      <selection activeCell="G19" sqref="G19"/>
    </sheetView>
  </sheetViews>
  <sheetFormatPr defaultRowHeight="15.75" x14ac:dyDescent="0.25"/>
  <cols>
    <col min="2" max="2" width="4.125" customWidth="1"/>
    <col min="3" max="3" width="4.75" customWidth="1"/>
    <col min="4" max="4" width="18.125" bestFit="1" customWidth="1"/>
    <col min="5" max="5" width="5.625" customWidth="1"/>
    <col min="6" max="6" width="3.5" customWidth="1"/>
    <col min="7" max="7" width="14.5" bestFit="1" customWidth="1"/>
    <col min="9" max="9" width="5.625" customWidth="1"/>
  </cols>
  <sheetData>
    <row r="1" spans="2:8" ht="68.25" customHeight="1" x14ac:dyDescent="0.25"/>
    <row r="2" spans="2:8" ht="16.5" thickBot="1" x14ac:dyDescent="0.3">
      <c r="B2" s="8"/>
      <c r="C2" s="8"/>
      <c r="D2" s="8"/>
      <c r="E2" s="8"/>
      <c r="F2" s="8"/>
    </row>
    <row r="3" spans="2:8" ht="16.5" thickBot="1" x14ac:dyDescent="0.3">
      <c r="B3" s="8"/>
      <c r="C3" s="39" t="s">
        <v>62</v>
      </c>
      <c r="D3" s="40"/>
      <c r="E3" s="41"/>
      <c r="F3" s="8"/>
    </row>
    <row r="4" spans="2:8" ht="16.5" thickBot="1" x14ac:dyDescent="0.3">
      <c r="B4" s="8"/>
      <c r="C4" s="24" t="s">
        <v>26</v>
      </c>
      <c r="D4" s="25" t="s">
        <v>79</v>
      </c>
      <c r="E4" s="26">
        <v>0.25</v>
      </c>
      <c r="F4" s="8"/>
    </row>
    <row r="5" spans="2:8" ht="16.5" thickBot="1" x14ac:dyDescent="0.3">
      <c r="B5" s="8"/>
      <c r="C5" s="8"/>
      <c r="D5" s="8"/>
      <c r="E5" s="8"/>
      <c r="F5" s="8"/>
    </row>
    <row r="6" spans="2:8" ht="16.5" thickBot="1" x14ac:dyDescent="0.3">
      <c r="B6" s="8"/>
      <c r="C6" s="39" t="s">
        <v>80</v>
      </c>
      <c r="D6" s="40"/>
      <c r="E6" s="41"/>
      <c r="F6" s="8"/>
    </row>
    <row r="7" spans="2:8" x14ac:dyDescent="0.25">
      <c r="B7" s="8"/>
      <c r="C7" s="27" t="s">
        <v>81</v>
      </c>
      <c r="D7" s="28" t="s">
        <v>82</v>
      </c>
      <c r="E7" s="29">
        <v>400</v>
      </c>
      <c r="F7" s="8"/>
    </row>
    <row r="8" spans="2:8" ht="19.5" thickBot="1" x14ac:dyDescent="0.4">
      <c r="B8" s="8"/>
      <c r="C8" s="30" t="s">
        <v>83</v>
      </c>
      <c r="D8" s="31" t="s">
        <v>84</v>
      </c>
      <c r="E8" s="32">
        <v>100</v>
      </c>
      <c r="F8" s="8"/>
    </row>
    <row r="9" spans="2:8" ht="16.5" thickBot="1" x14ac:dyDescent="0.3">
      <c r="B9" s="8"/>
      <c r="E9" s="18"/>
      <c r="F9" s="8"/>
    </row>
    <row r="10" spans="2:8" ht="16.5" thickBot="1" x14ac:dyDescent="0.3">
      <c r="B10" s="8"/>
      <c r="C10" s="39" t="s">
        <v>53</v>
      </c>
      <c r="D10" s="40"/>
      <c r="E10" s="41"/>
      <c r="F10" s="8"/>
      <c r="G10" s="33"/>
    </row>
    <row r="11" spans="2:8" x14ac:dyDescent="0.25">
      <c r="B11" s="8"/>
      <c r="C11" s="34"/>
      <c r="D11" s="28" t="s">
        <v>85</v>
      </c>
      <c r="E11" s="35">
        <f>E8/E7</f>
        <v>0.25</v>
      </c>
      <c r="F11" s="8"/>
    </row>
    <row r="12" spans="2:8" x14ac:dyDescent="0.25">
      <c r="B12" s="8"/>
      <c r="C12" s="36" t="s">
        <v>38</v>
      </c>
      <c r="D12" s="12" t="s">
        <v>86</v>
      </c>
      <c r="E12" s="37">
        <f>1-E4</f>
        <v>0.75</v>
      </c>
      <c r="F12" s="8"/>
      <c r="H12" s="18"/>
    </row>
    <row r="13" spans="2:8" ht="16.5" thickBot="1" x14ac:dyDescent="0.3">
      <c r="B13" s="8"/>
      <c r="C13" s="30" t="s">
        <v>56</v>
      </c>
      <c r="D13" s="31" t="s">
        <v>57</v>
      </c>
      <c r="E13" s="38">
        <f>(E11-E4)/SQRT(E4*E12/E7)</f>
        <v>0</v>
      </c>
      <c r="F13" s="8"/>
    </row>
    <row r="14" spans="2:8" x14ac:dyDescent="0.25">
      <c r="B14" s="8"/>
      <c r="C14" s="8"/>
      <c r="D14" s="8"/>
      <c r="E14" s="8"/>
      <c r="F14" s="8"/>
    </row>
  </sheetData>
  <dataConsolidate/>
  <mergeCells count="3">
    <mergeCell ref="C3:E3"/>
    <mergeCell ref="C6:E6"/>
    <mergeCell ref="C10:E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D47AA-A5D9-41D7-A318-4DB183A87513}">
  <sheetPr codeName="wks_1ZPPP"/>
  <dimension ref="A1:J32"/>
  <sheetViews>
    <sheetView showGridLines="0" workbookViewId="0">
      <selection activeCell="L1" sqref="L1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5.625" customWidth="1"/>
    <col min="5" max="5" width="3.5" customWidth="1"/>
    <col min="6" max="6" width="14.5" bestFit="1" customWidth="1"/>
    <col min="8" max="8" width="5.625" customWidth="1"/>
  </cols>
  <sheetData>
    <row r="1" spans="1:10" ht="68.25" customHeight="1" x14ac:dyDescent="0.25"/>
    <row r="2" spans="1:10" ht="16.5" thickBot="1" x14ac:dyDescent="0.3">
      <c r="A2" s="8"/>
      <c r="B2" s="8"/>
      <c r="C2" s="8"/>
      <c r="D2" s="8"/>
      <c r="E2" s="8"/>
      <c r="F2" s="8"/>
      <c r="G2" s="8"/>
      <c r="H2" s="8"/>
    </row>
    <row r="3" spans="1:10" ht="16.5" thickBot="1" x14ac:dyDescent="0.3">
      <c r="A3" s="8"/>
      <c r="B3" s="10" t="s">
        <v>42</v>
      </c>
      <c r="C3" s="9"/>
      <c r="D3" s="8"/>
      <c r="E3" s="39" t="s">
        <v>62</v>
      </c>
      <c r="F3" s="40"/>
      <c r="G3" s="41"/>
      <c r="H3" s="8"/>
    </row>
    <row r="4" spans="1:10" ht="4.5" customHeight="1" x14ac:dyDescent="0.25">
      <c r="A4" s="8"/>
      <c r="C4" s="9"/>
      <c r="D4" s="8"/>
      <c r="H4" s="8"/>
    </row>
    <row r="5" spans="1:10" ht="17.25" x14ac:dyDescent="0.3">
      <c r="A5" s="8"/>
      <c r="B5" s="18">
        <v>10.4</v>
      </c>
      <c r="C5" s="9"/>
      <c r="D5" s="8"/>
      <c r="E5" s="11" t="s">
        <v>45</v>
      </c>
      <c r="F5" s="12" t="s">
        <v>49</v>
      </c>
      <c r="G5" s="13">
        <v>10.18</v>
      </c>
      <c r="H5" s="8"/>
    </row>
    <row r="6" spans="1:10" ht="17.25" x14ac:dyDescent="0.3">
      <c r="A6" s="8"/>
      <c r="B6" s="18">
        <v>10.18</v>
      </c>
      <c r="C6" s="9"/>
      <c r="D6" s="8"/>
      <c r="E6" s="11" t="s">
        <v>47</v>
      </c>
      <c r="F6" s="12" t="s">
        <v>51</v>
      </c>
      <c r="G6" s="13">
        <v>0.5</v>
      </c>
      <c r="H6" s="8"/>
    </row>
    <row r="7" spans="1:10" ht="16.5" thickBot="1" x14ac:dyDescent="0.3">
      <c r="A7" s="8"/>
      <c r="B7" s="18">
        <v>10.48</v>
      </c>
      <c r="C7" s="9"/>
      <c r="D7" s="8"/>
      <c r="E7" s="8"/>
      <c r="F7" s="8"/>
      <c r="G7" s="8"/>
      <c r="H7" s="8"/>
    </row>
    <row r="8" spans="1:10" ht="16.5" thickBot="1" x14ac:dyDescent="0.3">
      <c r="A8" s="8"/>
      <c r="B8" s="18">
        <v>10.58</v>
      </c>
      <c r="C8" s="9"/>
      <c r="D8" s="8"/>
      <c r="E8" s="39" t="s">
        <v>53</v>
      </c>
      <c r="F8" s="40"/>
      <c r="G8" s="41"/>
      <c r="H8" s="8"/>
    </row>
    <row r="9" spans="1:10" x14ac:dyDescent="0.25">
      <c r="A9" s="8"/>
      <c r="B9" s="18">
        <v>10.220000000000001</v>
      </c>
      <c r="C9" s="9"/>
      <c r="D9" s="8"/>
      <c r="E9" s="14"/>
      <c r="F9" s="15" t="s">
        <v>54</v>
      </c>
      <c r="G9" s="21">
        <v>10.431818181818182</v>
      </c>
      <c r="H9" s="8"/>
    </row>
    <row r="10" spans="1:10" ht="18.75" x14ac:dyDescent="0.35">
      <c r="A10" s="8"/>
      <c r="B10" s="18">
        <v>10.5</v>
      </c>
      <c r="C10" s="9"/>
      <c r="D10" s="8"/>
      <c r="E10" s="12" t="s">
        <v>60</v>
      </c>
      <c r="F10" s="12" t="s">
        <v>61</v>
      </c>
      <c r="G10" s="16">
        <v>11</v>
      </c>
      <c r="H10" s="8"/>
    </row>
    <row r="11" spans="1:10" x14ac:dyDescent="0.25">
      <c r="A11" s="8"/>
      <c r="B11" s="18">
        <v>10.5</v>
      </c>
      <c r="C11" s="9"/>
      <c r="D11" s="8"/>
      <c r="E11" s="12" t="s">
        <v>56</v>
      </c>
      <c r="F11" s="12" t="s">
        <v>57</v>
      </c>
      <c r="G11" s="20">
        <v>1.6703728489608112</v>
      </c>
      <c r="H11" s="8"/>
    </row>
    <row r="12" spans="1:10" x14ac:dyDescent="0.25">
      <c r="A12" s="8"/>
      <c r="B12" s="18">
        <v>10.8</v>
      </c>
      <c r="C12" s="9"/>
      <c r="D12" s="8"/>
      <c r="G12" s="18"/>
      <c r="H12" s="8"/>
    </row>
    <row r="13" spans="1:10" x14ac:dyDescent="0.25">
      <c r="A13" s="8"/>
      <c r="B13" s="18">
        <v>10.02</v>
      </c>
      <c r="C13" s="9"/>
      <c r="D13" s="8"/>
      <c r="H13" s="8"/>
    </row>
    <row r="14" spans="1:10" x14ac:dyDescent="0.25">
      <c r="A14" s="8"/>
      <c r="B14" s="18">
        <v>10.6</v>
      </c>
      <c r="C14" s="9"/>
      <c r="D14" s="8"/>
      <c r="G14" s="18"/>
      <c r="H14" s="8"/>
    </row>
    <row r="15" spans="1:10" x14ac:dyDescent="0.25">
      <c r="A15" s="8"/>
      <c r="B15" s="18">
        <v>10.47</v>
      </c>
      <c r="C15" s="9"/>
      <c r="D15" s="8"/>
      <c r="H15" s="8"/>
      <c r="J15" s="18"/>
    </row>
    <row r="16" spans="1:10" x14ac:dyDescent="0.25">
      <c r="A16" s="8"/>
      <c r="B16" s="18"/>
      <c r="C16" s="9"/>
      <c r="D16" s="8"/>
      <c r="H16" s="8"/>
    </row>
    <row r="17" spans="1:8" x14ac:dyDescent="0.25">
      <c r="A17" s="8"/>
      <c r="B17" s="18"/>
      <c r="C17" s="9"/>
      <c r="D17" s="8"/>
      <c r="H17" s="8"/>
    </row>
    <row r="18" spans="1:8" x14ac:dyDescent="0.25">
      <c r="A18" s="8"/>
      <c r="B18" s="18"/>
      <c r="C18" s="9"/>
      <c r="D18" s="8"/>
      <c r="H18" s="8"/>
    </row>
    <row r="19" spans="1:8" x14ac:dyDescent="0.25">
      <c r="A19" s="8"/>
      <c r="C19" s="9"/>
      <c r="D19" s="8"/>
      <c r="H19" s="8"/>
    </row>
    <row r="20" spans="1:8" x14ac:dyDescent="0.25">
      <c r="A20" s="8"/>
      <c r="C20" s="9"/>
      <c r="D20" s="8"/>
      <c r="H20" s="8"/>
    </row>
    <row r="21" spans="1:8" x14ac:dyDescent="0.25">
      <c r="A21" s="8"/>
      <c r="C21" s="9"/>
      <c r="D21" s="8"/>
      <c r="H21" s="8"/>
    </row>
    <row r="22" spans="1:8" x14ac:dyDescent="0.25">
      <c r="A22" s="8"/>
      <c r="C22" s="9"/>
      <c r="D22" s="8"/>
      <c r="H22" s="8"/>
    </row>
    <row r="23" spans="1:8" x14ac:dyDescent="0.25">
      <c r="A23" s="8"/>
      <c r="C23" s="9"/>
      <c r="D23" s="8"/>
      <c r="H23" s="8"/>
    </row>
    <row r="24" spans="1:8" x14ac:dyDescent="0.25">
      <c r="A24" s="8"/>
      <c r="C24" s="9"/>
      <c r="D24" s="8"/>
      <c r="H24" s="8"/>
    </row>
    <row r="25" spans="1:8" x14ac:dyDescent="0.25">
      <c r="A25" s="8"/>
      <c r="C25" s="9"/>
      <c r="D25" s="8"/>
      <c r="H25" s="8"/>
    </row>
    <row r="26" spans="1:8" x14ac:dyDescent="0.25">
      <c r="A26" s="8"/>
      <c r="C26" s="9"/>
      <c r="D26" s="8"/>
      <c r="H26" s="8"/>
    </row>
    <row r="27" spans="1:8" x14ac:dyDescent="0.25">
      <c r="A27" s="8"/>
      <c r="C27" s="9"/>
      <c r="D27" s="8"/>
      <c r="H27" s="8"/>
    </row>
    <row r="28" spans="1:8" x14ac:dyDescent="0.25">
      <c r="A28" s="8"/>
      <c r="C28" s="9"/>
      <c r="D28" s="8"/>
      <c r="H28" s="8"/>
    </row>
    <row r="29" spans="1:8" x14ac:dyDescent="0.25">
      <c r="A29" s="8"/>
      <c r="C29" s="9"/>
      <c r="D29" s="8"/>
      <c r="H29" s="8"/>
    </row>
    <row r="30" spans="1:8" x14ac:dyDescent="0.25">
      <c r="A30" s="8"/>
      <c r="C30" s="9"/>
      <c r="D30" s="8"/>
      <c r="H30" s="8"/>
    </row>
    <row r="31" spans="1:8" x14ac:dyDescent="0.25">
      <c r="A31" s="8"/>
      <c r="C31" s="9"/>
      <c r="D31" s="8"/>
      <c r="H31" s="8"/>
    </row>
    <row r="32" spans="1:8" x14ac:dyDescent="0.25">
      <c r="A32" s="8"/>
      <c r="C32" s="9"/>
      <c r="D32" s="8"/>
      <c r="H32" s="8"/>
    </row>
  </sheetData>
  <dataConsolidate/>
  <mergeCells count="2">
    <mergeCell ref="E3:G3"/>
    <mergeCell ref="E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btnBack">
          <controlPr defaultSize="0" autoLine="0" r:id="rId5">
            <anchor moveWithCells="1">
              <from>
                <xdr:col>9</xdr:col>
                <xdr:colOff>676275</xdr:colOff>
                <xdr:row>0</xdr:row>
                <xdr:rowOff>133350</xdr:rowOff>
              </from>
              <to>
                <xdr:col>13</xdr:col>
                <xdr:colOff>152400</xdr:colOff>
                <xdr:row>0</xdr:row>
                <xdr:rowOff>438150</xdr:rowOff>
              </to>
            </anchor>
          </controlPr>
        </control>
      </mc:Choice>
      <mc:Fallback>
        <control shapeId="10242" r:id="rId4" name="btnBack"/>
      </mc:Fallback>
    </mc:AlternateContent>
    <mc:AlternateContent xmlns:mc="http://schemas.openxmlformats.org/markup-compatibility/2006">
      <mc:Choice Requires="x14">
        <control shapeId="10241" r:id="rId6" name="btn1zppp">
          <controlPr defaultSize="0" autoLine="0" r:id="rId7">
            <anchor moveWithCells="1">
              <from>
                <xdr:col>3</xdr:col>
                <xdr:colOff>333375</xdr:colOff>
                <xdr:row>0</xdr:row>
                <xdr:rowOff>133350</xdr:rowOff>
              </from>
              <to>
                <xdr:col>6</xdr:col>
                <xdr:colOff>142875</xdr:colOff>
                <xdr:row>0</xdr:row>
                <xdr:rowOff>628650</xdr:rowOff>
              </to>
            </anchor>
          </controlPr>
        </control>
      </mc:Choice>
      <mc:Fallback>
        <control shapeId="10241" r:id="rId6" name="btn1zpp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41D6B-8F74-4BCB-9765-918AD958D7C9}">
  <sheetPr codeName="wks_2TIS"/>
  <dimension ref="A1:I104"/>
  <sheetViews>
    <sheetView showGridLines="0" workbookViewId="0">
      <selection activeCell="B5" sqref="B5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13.75" bestFit="1" customWidth="1"/>
    <col min="5" max="5" width="5.625" customWidth="1"/>
    <col min="6" max="6" width="3.5" customWidth="1"/>
    <col min="7" max="7" width="14.5" bestFit="1" customWidth="1"/>
    <col min="9" max="9" width="5.625" customWidth="1"/>
  </cols>
  <sheetData>
    <row r="1" spans="1:9" ht="63.75" customHeight="1" x14ac:dyDescent="0.25"/>
    <row r="2" spans="1:9" ht="16.5" thickBot="1" x14ac:dyDescent="0.3">
      <c r="A2" s="8"/>
      <c r="B2" s="8"/>
      <c r="C2" s="8"/>
      <c r="D2" s="8"/>
      <c r="E2" s="8"/>
      <c r="F2" s="8"/>
      <c r="G2" s="8"/>
      <c r="H2" s="8"/>
      <c r="I2" s="8"/>
    </row>
    <row r="3" spans="1:9" ht="16.5" thickBot="1" x14ac:dyDescent="0.3">
      <c r="A3" s="8"/>
      <c r="B3" s="10" t="s">
        <v>42</v>
      </c>
      <c r="C3" s="9"/>
      <c r="D3" s="10" t="s">
        <v>43</v>
      </c>
      <c r="E3" s="8"/>
      <c r="F3" s="39" t="s">
        <v>62</v>
      </c>
      <c r="G3" s="40"/>
      <c r="H3" s="41"/>
      <c r="I3" s="8"/>
    </row>
    <row r="4" spans="1:9" ht="4.5" customHeight="1" x14ac:dyDescent="0.25">
      <c r="A4" s="8"/>
      <c r="C4" s="9"/>
      <c r="E4" s="8"/>
      <c r="I4" s="8"/>
    </row>
    <row r="5" spans="1:9" ht="17.25" x14ac:dyDescent="0.3">
      <c r="A5" s="8"/>
      <c r="B5">
        <v>0</v>
      </c>
      <c r="C5" s="9"/>
      <c r="D5">
        <v>5</v>
      </c>
      <c r="E5" s="8"/>
      <c r="F5" s="11" t="s">
        <v>45</v>
      </c>
      <c r="G5" s="12" t="s">
        <v>49</v>
      </c>
      <c r="H5" s="13">
        <v>2</v>
      </c>
      <c r="I5" s="8"/>
    </row>
    <row r="6" spans="1:9" ht="17.25" x14ac:dyDescent="0.3">
      <c r="A6" s="8"/>
      <c r="B6">
        <v>1</v>
      </c>
      <c r="C6" s="9"/>
      <c r="D6">
        <v>4</v>
      </c>
      <c r="E6" s="8"/>
      <c r="F6" s="11" t="s">
        <v>46</v>
      </c>
      <c r="G6" s="12" t="s">
        <v>50</v>
      </c>
      <c r="H6" s="13">
        <v>3</v>
      </c>
      <c r="I6" s="8"/>
    </row>
    <row r="7" spans="1:9" ht="16.5" thickBot="1" x14ac:dyDescent="0.3">
      <c r="A7" s="8"/>
      <c r="B7">
        <v>2</v>
      </c>
      <c r="C7" s="9"/>
      <c r="D7">
        <v>6</v>
      </c>
      <c r="E7" s="8"/>
      <c r="F7" s="8"/>
      <c r="G7" s="8"/>
      <c r="H7" s="8"/>
      <c r="I7" s="8"/>
    </row>
    <row r="8" spans="1:9" ht="16.5" thickBot="1" x14ac:dyDescent="0.3">
      <c r="A8" s="8"/>
      <c r="B8">
        <v>1</v>
      </c>
      <c r="C8" s="9"/>
      <c r="D8">
        <v>2</v>
      </c>
      <c r="E8" s="8"/>
      <c r="F8" s="39" t="s">
        <v>53</v>
      </c>
      <c r="G8" s="40"/>
      <c r="H8" s="41"/>
      <c r="I8" s="8"/>
    </row>
    <row r="9" spans="1:9" x14ac:dyDescent="0.25">
      <c r="A9" s="8"/>
      <c r="B9">
        <v>0</v>
      </c>
      <c r="C9" s="9"/>
      <c r="D9">
        <v>3</v>
      </c>
      <c r="E9" s="8"/>
      <c r="F9" s="14"/>
      <c r="G9" s="15" t="s">
        <v>54</v>
      </c>
      <c r="H9" s="21">
        <v>1.63</v>
      </c>
      <c r="I9" s="8"/>
    </row>
    <row r="10" spans="1:9" x14ac:dyDescent="0.25">
      <c r="A10" s="8"/>
      <c r="B10">
        <v>2</v>
      </c>
      <c r="C10" s="9"/>
      <c r="D10">
        <v>4</v>
      </c>
      <c r="E10" s="8"/>
      <c r="F10" s="12"/>
      <c r="G10" s="12" t="s">
        <v>55</v>
      </c>
      <c r="H10" s="22">
        <v>2.2999999999999998</v>
      </c>
      <c r="I10" s="8"/>
    </row>
    <row r="11" spans="1:9" ht="18.75" x14ac:dyDescent="0.35">
      <c r="A11" s="8"/>
      <c r="B11">
        <v>3</v>
      </c>
      <c r="C11" s="9"/>
      <c r="D11">
        <v>1</v>
      </c>
      <c r="E11" s="8"/>
      <c r="F11" s="12" t="s">
        <v>63</v>
      </c>
      <c r="G11" s="12" t="s">
        <v>66</v>
      </c>
      <c r="H11" s="22">
        <v>1.5676979197781591</v>
      </c>
      <c r="I11" s="8"/>
    </row>
    <row r="12" spans="1:9" ht="18.75" x14ac:dyDescent="0.35">
      <c r="A12" s="8"/>
      <c r="B12">
        <v>5</v>
      </c>
      <c r="C12" s="9"/>
      <c r="D12">
        <v>0</v>
      </c>
      <c r="E12" s="8"/>
      <c r="F12" s="12" t="s">
        <v>64</v>
      </c>
      <c r="G12" s="12" t="s">
        <v>65</v>
      </c>
      <c r="H12" s="22">
        <v>1.9095718489925024</v>
      </c>
      <c r="I12" s="8"/>
    </row>
    <row r="13" spans="1:9" ht="18.75" x14ac:dyDescent="0.35">
      <c r="A13" s="8"/>
      <c r="B13">
        <v>5</v>
      </c>
      <c r="C13" s="9"/>
      <c r="D13">
        <v>0</v>
      </c>
      <c r="E13" s="8"/>
      <c r="F13" s="12" t="s">
        <v>60</v>
      </c>
      <c r="G13" s="12" t="s">
        <v>61</v>
      </c>
      <c r="H13" s="16">
        <v>100</v>
      </c>
      <c r="I13" s="8"/>
    </row>
    <row r="14" spans="1:9" ht="18.75" x14ac:dyDescent="0.35">
      <c r="A14" s="8"/>
      <c r="B14">
        <v>4</v>
      </c>
      <c r="C14" s="9"/>
      <c r="D14">
        <v>4</v>
      </c>
      <c r="E14" s="8"/>
      <c r="F14" s="19" t="s">
        <v>58</v>
      </c>
      <c r="G14" s="12" t="s">
        <v>59</v>
      </c>
      <c r="H14" s="16">
        <v>100</v>
      </c>
      <c r="I14" s="8"/>
    </row>
    <row r="15" spans="1:9" x14ac:dyDescent="0.25">
      <c r="A15" s="8"/>
      <c r="B15">
        <v>2</v>
      </c>
      <c r="C15" s="9"/>
      <c r="D15">
        <v>1</v>
      </c>
      <c r="E15" s="8"/>
      <c r="F15" s="12" t="s">
        <v>67</v>
      </c>
      <c r="G15" s="12" t="s">
        <v>68</v>
      </c>
      <c r="H15" s="20">
        <v>1.3356776123695682</v>
      </c>
      <c r="I15" s="8"/>
    </row>
    <row r="16" spans="1:9" x14ac:dyDescent="0.25">
      <c r="A16" s="8"/>
      <c r="B16">
        <v>1</v>
      </c>
      <c r="C16" s="9"/>
      <c r="D16">
        <v>2</v>
      </c>
      <c r="E16" s="8"/>
      <c r="I16" s="8"/>
    </row>
    <row r="17" spans="1:9" x14ac:dyDescent="0.25">
      <c r="A17" s="8"/>
      <c r="B17">
        <v>0</v>
      </c>
      <c r="C17" s="9"/>
      <c r="D17">
        <v>5</v>
      </c>
      <c r="E17" s="8"/>
      <c r="I17" s="8"/>
    </row>
    <row r="18" spans="1:9" x14ac:dyDescent="0.25">
      <c r="A18" s="8"/>
      <c r="B18">
        <v>1</v>
      </c>
      <c r="C18" s="9"/>
      <c r="D18">
        <v>0</v>
      </c>
      <c r="E18" s="8"/>
      <c r="I18" s="8"/>
    </row>
    <row r="19" spans="1:9" x14ac:dyDescent="0.25">
      <c r="A19" s="8"/>
      <c r="B19">
        <v>0</v>
      </c>
      <c r="C19" s="9"/>
      <c r="D19">
        <v>2</v>
      </c>
      <c r="E19" s="8"/>
      <c r="I19" s="8"/>
    </row>
    <row r="20" spans="1:9" x14ac:dyDescent="0.25">
      <c r="A20" s="8"/>
      <c r="B20">
        <v>2</v>
      </c>
      <c r="C20" s="9"/>
      <c r="D20">
        <v>0</v>
      </c>
      <c r="E20" s="8"/>
      <c r="I20" s="8"/>
    </row>
    <row r="21" spans="1:9" x14ac:dyDescent="0.25">
      <c r="A21" s="8"/>
      <c r="B21">
        <v>3</v>
      </c>
      <c r="C21" s="9"/>
      <c r="D21">
        <v>2</v>
      </c>
      <c r="E21" s="8"/>
      <c r="I21" s="8"/>
    </row>
    <row r="22" spans="1:9" x14ac:dyDescent="0.25">
      <c r="A22" s="8"/>
      <c r="B22">
        <v>0</v>
      </c>
      <c r="C22" s="9"/>
      <c r="D22">
        <v>4</v>
      </c>
      <c r="E22" s="8"/>
      <c r="I22" s="8"/>
    </row>
    <row r="23" spans="1:9" x14ac:dyDescent="0.25">
      <c r="A23" s="8"/>
      <c r="B23">
        <v>3</v>
      </c>
      <c r="C23" s="9"/>
      <c r="D23">
        <v>1</v>
      </c>
      <c r="E23" s="8"/>
      <c r="I23" s="8"/>
    </row>
    <row r="24" spans="1:9" x14ac:dyDescent="0.25">
      <c r="A24" s="8"/>
      <c r="B24">
        <v>0</v>
      </c>
      <c r="C24" s="9"/>
      <c r="D24">
        <v>0</v>
      </c>
      <c r="E24" s="8"/>
      <c r="I24" s="8"/>
    </row>
    <row r="25" spans="1:9" x14ac:dyDescent="0.25">
      <c r="A25" s="8"/>
      <c r="B25">
        <v>3</v>
      </c>
      <c r="C25" s="9"/>
      <c r="D25">
        <v>5</v>
      </c>
      <c r="E25" s="8"/>
      <c r="I25" s="8"/>
    </row>
    <row r="26" spans="1:9" x14ac:dyDescent="0.25">
      <c r="A26" s="8"/>
      <c r="B26">
        <v>2</v>
      </c>
      <c r="C26" s="9"/>
      <c r="D26">
        <v>4</v>
      </c>
      <c r="E26" s="8"/>
      <c r="I26" s="8"/>
    </row>
    <row r="27" spans="1:9" x14ac:dyDescent="0.25">
      <c r="A27" s="8"/>
      <c r="B27">
        <v>0</v>
      </c>
      <c r="C27" s="9"/>
      <c r="D27">
        <v>6</v>
      </c>
      <c r="E27" s="8"/>
      <c r="I27" s="8"/>
    </row>
    <row r="28" spans="1:9" x14ac:dyDescent="0.25">
      <c r="A28" s="8"/>
      <c r="B28">
        <v>0</v>
      </c>
      <c r="C28" s="9"/>
      <c r="D28">
        <v>2</v>
      </c>
      <c r="E28" s="8"/>
      <c r="I28" s="8"/>
    </row>
    <row r="29" spans="1:9" x14ac:dyDescent="0.25">
      <c r="A29" s="8"/>
      <c r="B29">
        <v>0</v>
      </c>
      <c r="C29" s="9"/>
      <c r="D29">
        <v>3</v>
      </c>
      <c r="E29" s="8"/>
      <c r="I29" s="8"/>
    </row>
    <row r="30" spans="1:9" x14ac:dyDescent="0.25">
      <c r="A30" s="8"/>
      <c r="B30">
        <v>1</v>
      </c>
      <c r="C30" s="9"/>
      <c r="D30">
        <v>4</v>
      </c>
      <c r="E30" s="8"/>
      <c r="I30" s="8"/>
    </row>
    <row r="31" spans="1:9" x14ac:dyDescent="0.25">
      <c r="A31" s="8"/>
      <c r="B31">
        <v>2</v>
      </c>
      <c r="C31" s="9"/>
      <c r="D31">
        <v>1</v>
      </c>
      <c r="E31" s="8"/>
      <c r="I31" s="8"/>
    </row>
    <row r="32" spans="1:9" x14ac:dyDescent="0.25">
      <c r="A32" s="8"/>
      <c r="B32">
        <v>1</v>
      </c>
      <c r="C32" s="9"/>
      <c r="D32">
        <v>0</v>
      </c>
      <c r="E32" s="8"/>
      <c r="I32" s="8"/>
    </row>
    <row r="33" spans="2:4" x14ac:dyDescent="0.25">
      <c r="B33">
        <v>0</v>
      </c>
      <c r="D33">
        <v>0</v>
      </c>
    </row>
    <row r="34" spans="2:4" x14ac:dyDescent="0.25">
      <c r="B34">
        <v>2</v>
      </c>
      <c r="D34">
        <v>4</v>
      </c>
    </row>
    <row r="35" spans="2:4" x14ac:dyDescent="0.25">
      <c r="B35">
        <v>3</v>
      </c>
      <c r="D35">
        <v>1</v>
      </c>
    </row>
    <row r="36" spans="2:4" x14ac:dyDescent="0.25">
      <c r="B36">
        <v>5</v>
      </c>
      <c r="D36">
        <v>2</v>
      </c>
    </row>
    <row r="37" spans="2:4" x14ac:dyDescent="0.25">
      <c r="B37">
        <v>5</v>
      </c>
      <c r="D37">
        <v>5</v>
      </c>
    </row>
    <row r="38" spans="2:4" x14ac:dyDescent="0.25">
      <c r="B38">
        <v>4</v>
      </c>
      <c r="D38">
        <v>0</v>
      </c>
    </row>
    <row r="39" spans="2:4" x14ac:dyDescent="0.25">
      <c r="B39">
        <v>2</v>
      </c>
      <c r="D39">
        <v>2</v>
      </c>
    </row>
    <row r="40" spans="2:4" x14ac:dyDescent="0.25">
      <c r="B40">
        <v>1</v>
      </c>
      <c r="D40">
        <v>0</v>
      </c>
    </row>
    <row r="41" spans="2:4" x14ac:dyDescent="0.25">
      <c r="B41">
        <v>0</v>
      </c>
      <c r="D41">
        <v>2</v>
      </c>
    </row>
    <row r="42" spans="2:4" x14ac:dyDescent="0.25">
      <c r="B42">
        <v>1</v>
      </c>
      <c r="D42">
        <v>4</v>
      </c>
    </row>
    <row r="43" spans="2:4" x14ac:dyDescent="0.25">
      <c r="B43">
        <v>0</v>
      </c>
      <c r="D43">
        <v>1</v>
      </c>
    </row>
    <row r="44" spans="2:4" x14ac:dyDescent="0.25">
      <c r="B44">
        <v>2</v>
      </c>
      <c r="D44">
        <v>0</v>
      </c>
    </row>
    <row r="45" spans="2:4" x14ac:dyDescent="0.25">
      <c r="B45">
        <v>3</v>
      </c>
      <c r="D45">
        <v>5</v>
      </c>
    </row>
    <row r="46" spans="2:4" x14ac:dyDescent="0.25">
      <c r="B46">
        <v>0</v>
      </c>
      <c r="D46">
        <v>4</v>
      </c>
    </row>
    <row r="47" spans="2:4" x14ac:dyDescent="0.25">
      <c r="B47">
        <v>3</v>
      </c>
      <c r="D47">
        <v>6</v>
      </c>
    </row>
    <row r="48" spans="2:4" x14ac:dyDescent="0.25">
      <c r="B48">
        <v>0</v>
      </c>
      <c r="D48">
        <v>2</v>
      </c>
    </row>
    <row r="49" spans="2:4" x14ac:dyDescent="0.25">
      <c r="B49">
        <v>3</v>
      </c>
      <c r="D49">
        <v>3</v>
      </c>
    </row>
    <row r="50" spans="2:4" x14ac:dyDescent="0.25">
      <c r="B50">
        <v>2</v>
      </c>
      <c r="D50">
        <v>4</v>
      </c>
    </row>
    <row r="51" spans="2:4" x14ac:dyDescent="0.25">
      <c r="B51">
        <v>0</v>
      </c>
      <c r="D51">
        <v>1</v>
      </c>
    </row>
    <row r="52" spans="2:4" x14ac:dyDescent="0.25">
      <c r="B52">
        <v>0</v>
      </c>
      <c r="D52">
        <v>0</v>
      </c>
    </row>
    <row r="53" spans="2:4" x14ac:dyDescent="0.25">
      <c r="B53">
        <v>0</v>
      </c>
      <c r="D53">
        <v>0</v>
      </c>
    </row>
    <row r="54" spans="2:4" x14ac:dyDescent="0.25">
      <c r="B54">
        <v>1</v>
      </c>
      <c r="D54">
        <v>4</v>
      </c>
    </row>
    <row r="55" spans="2:4" x14ac:dyDescent="0.25">
      <c r="B55">
        <v>2</v>
      </c>
      <c r="D55">
        <v>1</v>
      </c>
    </row>
    <row r="56" spans="2:4" x14ac:dyDescent="0.25">
      <c r="B56">
        <v>1</v>
      </c>
      <c r="D56">
        <v>2</v>
      </c>
    </row>
    <row r="57" spans="2:4" x14ac:dyDescent="0.25">
      <c r="B57">
        <v>0</v>
      </c>
      <c r="D57">
        <v>5</v>
      </c>
    </row>
    <row r="58" spans="2:4" x14ac:dyDescent="0.25">
      <c r="B58">
        <v>2</v>
      </c>
      <c r="D58">
        <v>0</v>
      </c>
    </row>
    <row r="59" spans="2:4" x14ac:dyDescent="0.25">
      <c r="B59">
        <v>3</v>
      </c>
      <c r="D59">
        <v>2</v>
      </c>
    </row>
    <row r="60" spans="2:4" x14ac:dyDescent="0.25">
      <c r="B60">
        <v>5</v>
      </c>
      <c r="D60">
        <v>0</v>
      </c>
    </row>
    <row r="61" spans="2:4" x14ac:dyDescent="0.25">
      <c r="B61">
        <v>5</v>
      </c>
      <c r="D61">
        <v>2</v>
      </c>
    </row>
    <row r="62" spans="2:4" x14ac:dyDescent="0.25">
      <c r="B62">
        <v>4</v>
      </c>
      <c r="D62">
        <v>4</v>
      </c>
    </row>
    <row r="63" spans="2:4" x14ac:dyDescent="0.25">
      <c r="B63">
        <v>2</v>
      </c>
      <c r="D63">
        <v>1</v>
      </c>
    </row>
    <row r="64" spans="2:4" x14ac:dyDescent="0.25">
      <c r="B64">
        <v>1</v>
      </c>
      <c r="D64">
        <v>0</v>
      </c>
    </row>
    <row r="65" spans="2:4" x14ac:dyDescent="0.25">
      <c r="B65">
        <v>0</v>
      </c>
      <c r="D65">
        <v>5</v>
      </c>
    </row>
    <row r="66" spans="2:4" x14ac:dyDescent="0.25">
      <c r="B66">
        <v>1</v>
      </c>
      <c r="D66">
        <v>4</v>
      </c>
    </row>
    <row r="67" spans="2:4" x14ac:dyDescent="0.25">
      <c r="B67">
        <v>0</v>
      </c>
      <c r="D67">
        <v>6</v>
      </c>
    </row>
    <row r="68" spans="2:4" x14ac:dyDescent="0.25">
      <c r="B68">
        <v>2</v>
      </c>
      <c r="D68">
        <v>2</v>
      </c>
    </row>
    <row r="69" spans="2:4" x14ac:dyDescent="0.25">
      <c r="B69">
        <v>3</v>
      </c>
      <c r="D69">
        <v>3</v>
      </c>
    </row>
    <row r="70" spans="2:4" x14ac:dyDescent="0.25">
      <c r="B70">
        <v>0</v>
      </c>
      <c r="D70">
        <v>4</v>
      </c>
    </row>
    <row r="71" spans="2:4" x14ac:dyDescent="0.25">
      <c r="B71">
        <v>3</v>
      </c>
      <c r="D71">
        <v>1</v>
      </c>
    </row>
    <row r="72" spans="2:4" x14ac:dyDescent="0.25">
      <c r="B72">
        <v>0</v>
      </c>
      <c r="D72">
        <v>0</v>
      </c>
    </row>
    <row r="73" spans="2:4" x14ac:dyDescent="0.25">
      <c r="B73">
        <v>3</v>
      </c>
      <c r="D73">
        <v>0</v>
      </c>
    </row>
    <row r="74" spans="2:4" x14ac:dyDescent="0.25">
      <c r="B74">
        <v>2</v>
      </c>
      <c r="D74">
        <v>4</v>
      </c>
    </row>
    <row r="75" spans="2:4" x14ac:dyDescent="0.25">
      <c r="B75">
        <v>0</v>
      </c>
      <c r="D75">
        <v>1</v>
      </c>
    </row>
    <row r="76" spans="2:4" x14ac:dyDescent="0.25">
      <c r="B76">
        <v>0</v>
      </c>
      <c r="D76">
        <v>2</v>
      </c>
    </row>
    <row r="77" spans="2:4" x14ac:dyDescent="0.25">
      <c r="B77">
        <v>0</v>
      </c>
      <c r="D77">
        <v>5</v>
      </c>
    </row>
    <row r="78" spans="2:4" x14ac:dyDescent="0.25">
      <c r="B78">
        <v>1</v>
      </c>
      <c r="D78">
        <v>0</v>
      </c>
    </row>
    <row r="79" spans="2:4" x14ac:dyDescent="0.25">
      <c r="B79">
        <v>2</v>
      </c>
      <c r="D79">
        <v>2</v>
      </c>
    </row>
    <row r="80" spans="2:4" x14ac:dyDescent="0.25">
      <c r="B80">
        <v>1</v>
      </c>
      <c r="D80">
        <v>0</v>
      </c>
    </row>
    <row r="81" spans="2:4" x14ac:dyDescent="0.25">
      <c r="B81">
        <v>0</v>
      </c>
      <c r="D81">
        <v>2</v>
      </c>
    </row>
    <row r="82" spans="2:4" x14ac:dyDescent="0.25">
      <c r="B82">
        <v>2</v>
      </c>
      <c r="D82">
        <v>4</v>
      </c>
    </row>
    <row r="83" spans="2:4" x14ac:dyDescent="0.25">
      <c r="B83">
        <v>3</v>
      </c>
      <c r="D83">
        <v>1</v>
      </c>
    </row>
    <row r="84" spans="2:4" x14ac:dyDescent="0.25">
      <c r="B84">
        <v>5</v>
      </c>
      <c r="D84">
        <v>0</v>
      </c>
    </row>
    <row r="85" spans="2:4" x14ac:dyDescent="0.25">
      <c r="B85">
        <v>5</v>
      </c>
      <c r="D85">
        <v>5</v>
      </c>
    </row>
    <row r="86" spans="2:4" x14ac:dyDescent="0.25">
      <c r="B86">
        <v>4</v>
      </c>
      <c r="D86">
        <v>4</v>
      </c>
    </row>
    <row r="87" spans="2:4" x14ac:dyDescent="0.25">
      <c r="B87">
        <v>2</v>
      </c>
      <c r="D87">
        <v>6</v>
      </c>
    </row>
    <row r="88" spans="2:4" x14ac:dyDescent="0.25">
      <c r="B88">
        <v>1</v>
      </c>
      <c r="D88">
        <v>2</v>
      </c>
    </row>
    <row r="89" spans="2:4" x14ac:dyDescent="0.25">
      <c r="B89">
        <v>0</v>
      </c>
      <c r="D89">
        <v>3</v>
      </c>
    </row>
    <row r="90" spans="2:4" x14ac:dyDescent="0.25">
      <c r="B90">
        <v>1</v>
      </c>
      <c r="D90">
        <v>4</v>
      </c>
    </row>
    <row r="91" spans="2:4" x14ac:dyDescent="0.25">
      <c r="B91">
        <v>0</v>
      </c>
      <c r="D91">
        <v>1</v>
      </c>
    </row>
    <row r="92" spans="2:4" x14ac:dyDescent="0.25">
      <c r="B92">
        <v>2</v>
      </c>
      <c r="D92">
        <v>0</v>
      </c>
    </row>
    <row r="93" spans="2:4" x14ac:dyDescent="0.25">
      <c r="B93">
        <v>3</v>
      </c>
      <c r="D93">
        <v>0</v>
      </c>
    </row>
    <row r="94" spans="2:4" x14ac:dyDescent="0.25">
      <c r="B94">
        <v>0</v>
      </c>
      <c r="D94">
        <v>4</v>
      </c>
    </row>
    <row r="95" spans="2:4" x14ac:dyDescent="0.25">
      <c r="B95">
        <v>3</v>
      </c>
      <c r="D95">
        <v>1</v>
      </c>
    </row>
    <row r="96" spans="2:4" x14ac:dyDescent="0.25">
      <c r="B96">
        <v>0</v>
      </c>
      <c r="D96">
        <v>2</v>
      </c>
    </row>
    <row r="97" spans="2:4" x14ac:dyDescent="0.25">
      <c r="B97">
        <v>3</v>
      </c>
      <c r="D97">
        <v>5</v>
      </c>
    </row>
    <row r="98" spans="2:4" x14ac:dyDescent="0.25">
      <c r="B98">
        <v>2</v>
      </c>
      <c r="D98">
        <v>0</v>
      </c>
    </row>
    <row r="99" spans="2:4" x14ac:dyDescent="0.25">
      <c r="B99">
        <v>0</v>
      </c>
      <c r="D99">
        <v>2</v>
      </c>
    </row>
    <row r="100" spans="2:4" x14ac:dyDescent="0.25">
      <c r="B100">
        <v>0</v>
      </c>
      <c r="D100">
        <v>0</v>
      </c>
    </row>
    <row r="101" spans="2:4" x14ac:dyDescent="0.25">
      <c r="B101">
        <v>0</v>
      </c>
      <c r="D101">
        <v>2</v>
      </c>
    </row>
    <row r="102" spans="2:4" x14ac:dyDescent="0.25">
      <c r="B102">
        <v>1</v>
      </c>
      <c r="D102">
        <v>4</v>
      </c>
    </row>
    <row r="103" spans="2:4" x14ac:dyDescent="0.25">
      <c r="B103">
        <v>2</v>
      </c>
      <c r="D103">
        <v>1</v>
      </c>
    </row>
    <row r="104" spans="2:4" x14ac:dyDescent="0.25">
      <c r="B104">
        <v>0</v>
      </c>
      <c r="D104">
        <v>0</v>
      </c>
    </row>
  </sheetData>
  <mergeCells count="2">
    <mergeCell ref="F3:H3"/>
    <mergeCell ref="F8:H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btnBack">
          <controlPr defaultSize="0" autoLine="0" r:id="rId5">
            <anchor moveWithCells="1">
              <from>
                <xdr:col>9</xdr:col>
                <xdr:colOff>676275</xdr:colOff>
                <xdr:row>0</xdr:row>
                <xdr:rowOff>142875</xdr:rowOff>
              </from>
              <to>
                <xdr:col>13</xdr:col>
                <xdr:colOff>152400</xdr:colOff>
                <xdr:row>0</xdr:row>
                <xdr:rowOff>447675</xdr:rowOff>
              </to>
            </anchor>
          </controlPr>
        </control>
      </mc:Choice>
      <mc:Fallback>
        <control shapeId="3074" r:id="rId4" name="btnBack"/>
      </mc:Fallback>
    </mc:AlternateContent>
    <mc:AlternateContent xmlns:mc="http://schemas.openxmlformats.org/markup-compatibility/2006">
      <mc:Choice Requires="x14">
        <control shapeId="3073" r:id="rId6" name="btn2tis">
          <controlPr defaultSize="0" autoLine="0" r:id="rId7">
            <anchor moveWithCells="1">
              <from>
                <xdr:col>3</xdr:col>
                <xdr:colOff>209550</xdr:colOff>
                <xdr:row>0</xdr:row>
                <xdr:rowOff>114300</xdr:rowOff>
              </from>
              <to>
                <xdr:col>6</xdr:col>
                <xdr:colOff>76200</xdr:colOff>
                <xdr:row>0</xdr:row>
                <xdr:rowOff>609600</xdr:rowOff>
              </to>
            </anchor>
          </controlPr>
        </control>
      </mc:Choice>
      <mc:Fallback>
        <control shapeId="3073" r:id="rId6" name="btn2ti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F1EE-1553-4CEE-AAE8-1B02DC746AD8}">
  <sheetPr codeName="wks_1ZPPM"/>
  <dimension ref="A1:J32"/>
  <sheetViews>
    <sheetView showGridLines="0" workbookViewId="0">
      <selection activeCell="J10" sqref="J10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5.625" customWidth="1"/>
    <col min="5" max="5" width="3.5" customWidth="1"/>
    <col min="6" max="6" width="14.5" bestFit="1" customWidth="1"/>
    <col min="8" max="8" width="5.625" customWidth="1"/>
  </cols>
  <sheetData>
    <row r="1" spans="1:10" ht="63.75" customHeight="1" x14ac:dyDescent="0.25"/>
    <row r="2" spans="1:10" ht="16.5" thickBot="1" x14ac:dyDescent="0.3">
      <c r="A2" s="8"/>
      <c r="B2" s="8"/>
      <c r="C2" s="8"/>
      <c r="D2" s="8"/>
      <c r="E2" s="8"/>
      <c r="F2" s="8"/>
      <c r="G2" s="8"/>
      <c r="H2" s="8"/>
    </row>
    <row r="3" spans="1:10" ht="16.5" thickBot="1" x14ac:dyDescent="0.3">
      <c r="A3" s="8"/>
      <c r="B3" s="10" t="s">
        <v>42</v>
      </c>
      <c r="C3" s="9"/>
      <c r="D3" s="8"/>
      <c r="E3" s="39" t="s">
        <v>62</v>
      </c>
      <c r="F3" s="40"/>
      <c r="G3" s="41"/>
      <c r="H3" s="8"/>
    </row>
    <row r="4" spans="1:10" ht="4.5" customHeight="1" x14ac:dyDescent="0.25">
      <c r="A4" s="8"/>
      <c r="C4" s="9"/>
      <c r="D4" s="8"/>
      <c r="H4" s="8"/>
    </row>
    <row r="5" spans="1:10" ht="17.25" x14ac:dyDescent="0.3">
      <c r="A5" s="8"/>
      <c r="B5" s="18">
        <v>10.4</v>
      </c>
      <c r="C5" s="9"/>
      <c r="D5" s="8"/>
      <c r="E5" s="11" t="s">
        <v>45</v>
      </c>
      <c r="F5" s="12" t="s">
        <v>49</v>
      </c>
      <c r="G5" s="13">
        <v>10.18</v>
      </c>
      <c r="H5" s="8"/>
    </row>
    <row r="6" spans="1:10" ht="17.25" x14ac:dyDescent="0.3">
      <c r="A6" s="8"/>
      <c r="B6" s="18">
        <v>10.18</v>
      </c>
      <c r="C6" s="9"/>
      <c r="D6" s="8"/>
      <c r="E6" s="11" t="s">
        <v>47</v>
      </c>
      <c r="F6" s="12" t="s">
        <v>51</v>
      </c>
      <c r="G6" s="13">
        <v>0.5</v>
      </c>
      <c r="H6" s="8"/>
    </row>
    <row r="7" spans="1:10" ht="16.5" thickBot="1" x14ac:dyDescent="0.3">
      <c r="A7" s="8"/>
      <c r="B7" s="18">
        <v>10.48</v>
      </c>
      <c r="C7" s="9"/>
      <c r="D7" s="8"/>
      <c r="E7" s="8"/>
      <c r="F7" s="8"/>
      <c r="G7" s="8"/>
      <c r="H7" s="8"/>
    </row>
    <row r="8" spans="1:10" ht="16.5" thickBot="1" x14ac:dyDescent="0.3">
      <c r="A8" s="8"/>
      <c r="B8" s="18">
        <v>10.58</v>
      </c>
      <c r="C8" s="9"/>
      <c r="D8" s="8"/>
      <c r="E8" s="39" t="s">
        <v>53</v>
      </c>
      <c r="F8" s="40"/>
      <c r="G8" s="41"/>
      <c r="H8" s="8"/>
    </row>
    <row r="9" spans="1:10" x14ac:dyDescent="0.25">
      <c r="A9" s="8"/>
      <c r="B9" s="18">
        <v>10.220000000000001</v>
      </c>
      <c r="C9" s="9"/>
      <c r="D9" s="8"/>
      <c r="E9" s="14"/>
      <c r="F9" s="15" t="s">
        <v>54</v>
      </c>
      <c r="G9" s="21">
        <v>10.431818181818182</v>
      </c>
      <c r="H9" s="8"/>
    </row>
    <row r="10" spans="1:10" ht="18.75" x14ac:dyDescent="0.35">
      <c r="A10" s="8"/>
      <c r="B10" s="18">
        <v>10.5</v>
      </c>
      <c r="C10" s="9"/>
      <c r="D10" s="8"/>
      <c r="E10" s="12" t="s">
        <v>60</v>
      </c>
      <c r="F10" s="12" t="s">
        <v>61</v>
      </c>
      <c r="G10" s="16">
        <v>11</v>
      </c>
      <c r="H10" s="8"/>
    </row>
    <row r="11" spans="1:10" x14ac:dyDescent="0.25">
      <c r="A11" s="8"/>
      <c r="B11" s="18">
        <v>10.5</v>
      </c>
      <c r="C11" s="9"/>
      <c r="D11" s="8"/>
      <c r="E11" s="12" t="s">
        <v>56</v>
      </c>
      <c r="F11" s="12" t="s">
        <v>57</v>
      </c>
      <c r="G11" s="20">
        <v>1.6703728489608112</v>
      </c>
      <c r="H11" s="8"/>
    </row>
    <row r="12" spans="1:10" x14ac:dyDescent="0.25">
      <c r="A12" s="8"/>
      <c r="B12" s="18">
        <v>10.8</v>
      </c>
      <c r="C12" s="9"/>
      <c r="D12" s="8"/>
      <c r="G12" s="18"/>
      <c r="H12" s="8"/>
    </row>
    <row r="13" spans="1:10" x14ac:dyDescent="0.25">
      <c r="A13" s="8"/>
      <c r="B13" s="18">
        <v>10.02</v>
      </c>
      <c r="C13" s="9"/>
      <c r="D13" s="8"/>
      <c r="H13" s="8"/>
    </row>
    <row r="14" spans="1:10" x14ac:dyDescent="0.25">
      <c r="A14" s="8"/>
      <c r="B14" s="18">
        <v>10.6</v>
      </c>
      <c r="C14" s="9"/>
      <c r="D14" s="8"/>
      <c r="G14" s="18"/>
      <c r="H14" s="8"/>
    </row>
    <row r="15" spans="1:10" x14ac:dyDescent="0.25">
      <c r="A15" s="8"/>
      <c r="B15" s="18">
        <v>10.47</v>
      </c>
      <c r="C15" s="9"/>
      <c r="D15" s="8"/>
      <c r="H15" s="8"/>
      <c r="J15" s="18"/>
    </row>
    <row r="16" spans="1:10" x14ac:dyDescent="0.25">
      <c r="A16" s="8"/>
      <c r="B16" s="18"/>
      <c r="C16" s="9"/>
      <c r="D16" s="8"/>
      <c r="H16" s="8"/>
    </row>
    <row r="17" spans="1:8" x14ac:dyDescent="0.25">
      <c r="A17" s="8"/>
      <c r="B17" s="18"/>
      <c r="C17" s="9"/>
      <c r="D17" s="8"/>
      <c r="H17" s="8"/>
    </row>
    <row r="18" spans="1:8" x14ac:dyDescent="0.25">
      <c r="A18" s="8"/>
      <c r="B18" s="18"/>
      <c r="C18" s="9"/>
      <c r="D18" s="8"/>
      <c r="H18" s="8"/>
    </row>
    <row r="19" spans="1:8" x14ac:dyDescent="0.25">
      <c r="A19" s="8"/>
      <c r="C19" s="9"/>
      <c r="D19" s="8"/>
      <c r="H19" s="8"/>
    </row>
    <row r="20" spans="1:8" x14ac:dyDescent="0.25">
      <c r="A20" s="8"/>
      <c r="C20" s="9"/>
      <c r="D20" s="8"/>
      <c r="H20" s="8"/>
    </row>
    <row r="21" spans="1:8" x14ac:dyDescent="0.25">
      <c r="A21" s="8"/>
      <c r="C21" s="9"/>
      <c r="D21" s="8"/>
      <c r="H21" s="8"/>
    </row>
    <row r="22" spans="1:8" x14ac:dyDescent="0.25">
      <c r="A22" s="8"/>
      <c r="C22" s="9"/>
      <c r="D22" s="8"/>
      <c r="H22" s="8"/>
    </row>
    <row r="23" spans="1:8" x14ac:dyDescent="0.25">
      <c r="A23" s="8"/>
      <c r="C23" s="9"/>
      <c r="D23" s="8"/>
      <c r="H23" s="8"/>
    </row>
    <row r="24" spans="1:8" x14ac:dyDescent="0.25">
      <c r="A24" s="8"/>
      <c r="C24" s="9"/>
      <c r="D24" s="8"/>
      <c r="H24" s="8"/>
    </row>
    <row r="25" spans="1:8" x14ac:dyDescent="0.25">
      <c r="A25" s="8"/>
      <c r="C25" s="9"/>
      <c r="D25" s="8"/>
      <c r="H25" s="8"/>
    </row>
    <row r="26" spans="1:8" x14ac:dyDescent="0.25">
      <c r="A26" s="8"/>
      <c r="C26" s="9"/>
      <c r="D26" s="8"/>
      <c r="H26" s="8"/>
    </row>
    <row r="27" spans="1:8" x14ac:dyDescent="0.25">
      <c r="A27" s="8"/>
      <c r="C27" s="9"/>
      <c r="D27" s="8"/>
      <c r="H27" s="8"/>
    </row>
    <row r="28" spans="1:8" x14ac:dyDescent="0.25">
      <c r="A28" s="8"/>
      <c r="C28" s="9"/>
      <c r="D28" s="8"/>
      <c r="H28" s="8"/>
    </row>
    <row r="29" spans="1:8" x14ac:dyDescent="0.25">
      <c r="A29" s="8"/>
      <c r="C29" s="9"/>
      <c r="D29" s="8"/>
      <c r="H29" s="8"/>
    </row>
    <row r="30" spans="1:8" x14ac:dyDescent="0.25">
      <c r="A30" s="8"/>
      <c r="C30" s="9"/>
      <c r="D30" s="8"/>
      <c r="H30" s="8"/>
    </row>
    <row r="31" spans="1:8" x14ac:dyDescent="0.25">
      <c r="A31" s="8"/>
      <c r="C31" s="9"/>
      <c r="D31" s="8"/>
      <c r="H31" s="8"/>
    </row>
    <row r="32" spans="1:8" x14ac:dyDescent="0.25">
      <c r="A32" s="8"/>
      <c r="C32" s="9"/>
      <c r="D32" s="8"/>
      <c r="H32" s="8"/>
    </row>
  </sheetData>
  <dataConsolidate/>
  <mergeCells count="2">
    <mergeCell ref="E3:G3"/>
    <mergeCell ref="E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Back">
          <controlPr defaultSize="0" autoLine="0" r:id="rId5">
            <anchor moveWithCells="1">
              <from>
                <xdr:col>10</xdr:col>
                <xdr:colOff>19050</xdr:colOff>
                <xdr:row>0</xdr:row>
                <xdr:rowOff>152400</xdr:rowOff>
              </from>
              <to>
                <xdr:col>13</xdr:col>
                <xdr:colOff>180975</xdr:colOff>
                <xdr:row>0</xdr:row>
                <xdr:rowOff>457200</xdr:rowOff>
              </to>
            </anchor>
          </controlPr>
        </control>
      </mc:Choice>
      <mc:Fallback>
        <control shapeId="5122" r:id="rId4" name="btnBack"/>
      </mc:Fallback>
    </mc:AlternateContent>
    <mc:AlternateContent xmlns:mc="http://schemas.openxmlformats.org/markup-compatibility/2006">
      <mc:Choice Requires="x14">
        <control shapeId="5121" r:id="rId6" name="btn1zppm">
          <controlPr defaultSize="0" autoLine="0" autoPict="0" r:id="rId7">
            <anchor moveWithCells="1">
              <from>
                <xdr:col>3</xdr:col>
                <xdr:colOff>333375</xdr:colOff>
                <xdr:row>0</xdr:row>
                <xdr:rowOff>133350</xdr:rowOff>
              </from>
              <to>
                <xdr:col>6</xdr:col>
                <xdr:colOff>142875</xdr:colOff>
                <xdr:row>0</xdr:row>
                <xdr:rowOff>628650</xdr:rowOff>
              </to>
            </anchor>
          </controlPr>
        </control>
      </mc:Choice>
      <mc:Fallback>
        <control shapeId="5121" r:id="rId6" name="btn1zppm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5F51F-36C7-4E5A-B69A-68D701DF02C7}">
  <sheetPr codeName="wks_1Zm"/>
  <dimension ref="A1:K32"/>
  <sheetViews>
    <sheetView showGridLines="0" tabSelected="1" workbookViewId="0">
      <selection activeCell="F1" sqref="F1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5.625" customWidth="1"/>
    <col min="5" max="5" width="3.5" customWidth="1"/>
    <col min="6" max="6" width="14.5" bestFit="1" customWidth="1"/>
    <col min="8" max="8" width="5.625" customWidth="1"/>
  </cols>
  <sheetData>
    <row r="1" spans="1:11" ht="63.75" customHeight="1" x14ac:dyDescent="0.25"/>
    <row r="2" spans="1:11" ht="16.5" thickBot="1" x14ac:dyDescent="0.3">
      <c r="A2" s="8"/>
      <c r="B2" s="8"/>
      <c r="C2" s="8"/>
      <c r="D2" s="8"/>
      <c r="E2" s="8"/>
      <c r="F2" s="8"/>
      <c r="G2" s="8"/>
      <c r="H2" s="8"/>
    </row>
    <row r="3" spans="1:11" ht="16.5" thickBot="1" x14ac:dyDescent="0.3">
      <c r="A3" s="8"/>
      <c r="B3" s="10" t="s">
        <v>42</v>
      </c>
      <c r="C3" s="9"/>
      <c r="D3" s="8"/>
      <c r="E3" s="39" t="s">
        <v>87</v>
      </c>
      <c r="F3" s="40"/>
      <c r="G3" s="41"/>
      <c r="H3" s="8"/>
    </row>
    <row r="4" spans="1:11" ht="4.5" customHeight="1" x14ac:dyDescent="0.25">
      <c r="A4" s="8"/>
      <c r="C4" s="9"/>
      <c r="D4" s="8"/>
      <c r="H4" s="8"/>
    </row>
    <row r="5" spans="1:11" ht="17.25" x14ac:dyDescent="0.3">
      <c r="A5" s="8"/>
      <c r="B5">
        <v>0</v>
      </c>
      <c r="C5" s="9"/>
      <c r="D5" s="8"/>
      <c r="E5" s="11" t="s">
        <v>45</v>
      </c>
      <c r="F5" s="12" t="s">
        <v>49</v>
      </c>
      <c r="G5" s="13">
        <v>0</v>
      </c>
      <c r="H5" s="8"/>
    </row>
    <row r="6" spans="1:11" ht="16.5" thickBot="1" x14ac:dyDescent="0.3">
      <c r="A6" s="8"/>
      <c r="B6">
        <v>0</v>
      </c>
      <c r="C6" s="9"/>
      <c r="D6" s="8"/>
      <c r="E6" s="8"/>
      <c r="F6" s="8"/>
      <c r="G6" s="8"/>
      <c r="H6" s="8"/>
    </row>
    <row r="7" spans="1:11" ht="16.5" thickBot="1" x14ac:dyDescent="0.3">
      <c r="A7" s="8"/>
      <c r="B7">
        <v>0</v>
      </c>
      <c r="C7" s="9"/>
      <c r="D7" s="8"/>
      <c r="E7" s="39" t="s">
        <v>53</v>
      </c>
      <c r="F7" s="40"/>
      <c r="G7" s="41"/>
      <c r="H7" s="8"/>
    </row>
    <row r="8" spans="1:11" x14ac:dyDescent="0.25">
      <c r="A8" s="8"/>
      <c r="B8">
        <v>1</v>
      </c>
      <c r="C8" s="9"/>
      <c r="D8" s="8"/>
      <c r="E8" s="14"/>
      <c r="F8" s="15" t="s">
        <v>54</v>
      </c>
      <c r="G8" s="21">
        <v>0.5714285714285714</v>
      </c>
      <c r="H8" s="8"/>
    </row>
    <row r="9" spans="1:11" ht="18.75" x14ac:dyDescent="0.35">
      <c r="A9" s="8"/>
      <c r="B9">
        <v>2</v>
      </c>
      <c r="C9" s="9"/>
      <c r="D9" s="8"/>
      <c r="E9" s="12" t="s">
        <v>63</v>
      </c>
      <c r="F9" s="12" t="s">
        <v>73</v>
      </c>
      <c r="G9" s="16">
        <v>1.1996472144565831</v>
      </c>
      <c r="H9" s="8"/>
    </row>
    <row r="10" spans="1:11" ht="18.75" x14ac:dyDescent="0.35">
      <c r="A10" s="8"/>
      <c r="B10">
        <v>1</v>
      </c>
      <c r="C10" s="9"/>
      <c r="D10" s="8"/>
      <c r="E10" s="12" t="s">
        <v>60</v>
      </c>
      <c r="F10" s="12" t="s">
        <v>61</v>
      </c>
      <c r="G10" s="16">
        <v>28</v>
      </c>
      <c r="H10" s="8"/>
      <c r="K10" s="18"/>
    </row>
    <row r="11" spans="1:11" x14ac:dyDescent="0.25">
      <c r="A11" s="8"/>
      <c r="B11">
        <v>0</v>
      </c>
      <c r="C11" s="9"/>
      <c r="D11" s="8"/>
      <c r="E11" s="12" t="s">
        <v>56</v>
      </c>
      <c r="F11" s="12" t="s">
        <v>57</v>
      </c>
      <c r="G11" s="20">
        <v>2.5205041512504178</v>
      </c>
      <c r="H11" s="8"/>
    </row>
    <row r="12" spans="1:11" x14ac:dyDescent="0.25">
      <c r="A12" s="8"/>
      <c r="B12">
        <v>-2</v>
      </c>
      <c r="C12" s="9"/>
      <c r="D12" s="8"/>
      <c r="H12" s="8"/>
    </row>
    <row r="13" spans="1:11" x14ac:dyDescent="0.25">
      <c r="A13" s="8"/>
      <c r="B13">
        <v>1</v>
      </c>
      <c r="C13" s="9"/>
      <c r="D13" s="8"/>
      <c r="G13" s="18"/>
      <c r="H13" s="8"/>
    </row>
    <row r="14" spans="1:11" x14ac:dyDescent="0.25">
      <c r="A14" s="8"/>
      <c r="B14">
        <v>0</v>
      </c>
      <c r="C14" s="9"/>
      <c r="D14" s="8"/>
      <c r="H14" s="8"/>
    </row>
    <row r="15" spans="1:11" x14ac:dyDescent="0.25">
      <c r="A15" s="8"/>
      <c r="B15">
        <v>2</v>
      </c>
      <c r="C15" s="9"/>
      <c r="D15" s="8"/>
      <c r="H15" s="8"/>
      <c r="J15" s="18"/>
    </row>
    <row r="16" spans="1:11" x14ac:dyDescent="0.25">
      <c r="A16" s="8"/>
      <c r="B16">
        <v>3</v>
      </c>
      <c r="C16" s="9"/>
      <c r="D16" s="8"/>
      <c r="H16" s="8"/>
    </row>
    <row r="17" spans="1:8" x14ac:dyDescent="0.25">
      <c r="A17" s="8"/>
      <c r="B17">
        <v>0</v>
      </c>
      <c r="C17" s="9"/>
      <c r="D17" s="8"/>
      <c r="H17" s="8"/>
    </row>
    <row r="18" spans="1:8" x14ac:dyDescent="0.25">
      <c r="A18" s="8"/>
      <c r="B18">
        <v>3</v>
      </c>
      <c r="C18" s="9"/>
      <c r="D18" s="8"/>
      <c r="H18" s="8"/>
    </row>
    <row r="19" spans="1:8" x14ac:dyDescent="0.25">
      <c r="A19" s="8"/>
      <c r="B19">
        <v>2</v>
      </c>
      <c r="C19" s="9"/>
      <c r="D19" s="8"/>
      <c r="H19" s="8"/>
    </row>
    <row r="20" spans="1:8" x14ac:dyDescent="0.25">
      <c r="A20" s="8"/>
      <c r="B20">
        <v>0</v>
      </c>
      <c r="C20" s="9"/>
      <c r="D20" s="8"/>
      <c r="H20" s="8"/>
    </row>
    <row r="21" spans="1:8" x14ac:dyDescent="0.25">
      <c r="A21" s="8"/>
      <c r="B21">
        <v>-1</v>
      </c>
      <c r="C21" s="9"/>
      <c r="D21" s="8"/>
      <c r="H21" s="8"/>
    </row>
    <row r="22" spans="1:8" x14ac:dyDescent="0.25">
      <c r="A22" s="8"/>
      <c r="B22">
        <v>0</v>
      </c>
      <c r="C22" s="9"/>
      <c r="D22" s="8"/>
      <c r="H22" s="8"/>
    </row>
    <row r="23" spans="1:8" x14ac:dyDescent="0.25">
      <c r="A23" s="8"/>
      <c r="B23">
        <v>1</v>
      </c>
      <c r="C23" s="9"/>
      <c r="D23" s="8"/>
      <c r="H23" s="8"/>
    </row>
    <row r="24" spans="1:8" x14ac:dyDescent="0.25">
      <c r="A24" s="8"/>
      <c r="B24">
        <v>0</v>
      </c>
      <c r="C24" s="9"/>
      <c r="D24" s="8"/>
      <c r="H24" s="8"/>
    </row>
    <row r="25" spans="1:8" x14ac:dyDescent="0.25">
      <c r="A25" s="8"/>
      <c r="B25">
        <v>0</v>
      </c>
      <c r="C25" s="9"/>
      <c r="D25" s="8"/>
      <c r="H25" s="8"/>
    </row>
    <row r="26" spans="1:8" x14ac:dyDescent="0.25">
      <c r="A26" s="8"/>
      <c r="B26">
        <v>0</v>
      </c>
      <c r="C26" s="9"/>
      <c r="D26" s="8"/>
      <c r="H26" s="8"/>
    </row>
    <row r="27" spans="1:8" x14ac:dyDescent="0.25">
      <c r="A27" s="8"/>
      <c r="B27">
        <v>0</v>
      </c>
      <c r="C27" s="9"/>
      <c r="D27" s="8"/>
      <c r="H27" s="8"/>
    </row>
    <row r="28" spans="1:8" x14ac:dyDescent="0.25">
      <c r="A28" s="8"/>
      <c r="B28">
        <v>-1</v>
      </c>
      <c r="C28" s="9"/>
      <c r="D28" s="8"/>
      <c r="H28" s="8"/>
    </row>
    <row r="29" spans="1:8" x14ac:dyDescent="0.25">
      <c r="A29" s="8"/>
      <c r="B29">
        <v>2</v>
      </c>
      <c r="C29" s="9"/>
      <c r="D29" s="8"/>
      <c r="H29" s="8"/>
    </row>
    <row r="30" spans="1:8" x14ac:dyDescent="0.25">
      <c r="A30" s="8"/>
      <c r="B30">
        <v>0</v>
      </c>
      <c r="C30" s="9"/>
      <c r="D30" s="8"/>
      <c r="H30" s="8"/>
    </row>
    <row r="31" spans="1:8" x14ac:dyDescent="0.25">
      <c r="A31" s="8"/>
      <c r="B31">
        <v>0</v>
      </c>
      <c r="C31" s="9"/>
      <c r="D31" s="8"/>
      <c r="H31" s="8"/>
    </row>
    <row r="32" spans="1:8" x14ac:dyDescent="0.25">
      <c r="A32" s="8"/>
      <c r="B32">
        <v>2</v>
      </c>
      <c r="C32" s="9"/>
      <c r="D32" s="8"/>
      <c r="H32" s="8"/>
    </row>
  </sheetData>
  <dataConsolidate/>
  <mergeCells count="2">
    <mergeCell ref="E3:G3"/>
    <mergeCell ref="E7:G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btnBack">
          <controlPr defaultSize="0" autoLine="0" r:id="rId5">
            <anchor moveWithCells="1">
              <from>
                <xdr:col>9</xdr:col>
                <xdr:colOff>657225</xdr:colOff>
                <xdr:row>0</xdr:row>
                <xdr:rowOff>152400</xdr:rowOff>
              </from>
              <to>
                <xdr:col>13</xdr:col>
                <xdr:colOff>133350</xdr:colOff>
                <xdr:row>0</xdr:row>
                <xdr:rowOff>457200</xdr:rowOff>
              </to>
            </anchor>
          </controlPr>
        </control>
      </mc:Choice>
      <mc:Fallback>
        <control shapeId="6146" r:id="rId4" name="btnBack"/>
      </mc:Fallback>
    </mc:AlternateContent>
    <mc:AlternateContent xmlns:mc="http://schemas.openxmlformats.org/markup-compatibility/2006">
      <mc:Choice Requires="x14">
        <control shapeId="6145" r:id="rId6" name="btn1Zm">
          <controlPr defaultSize="0" autoLine="0" r:id="rId7">
            <anchor moveWithCells="1">
              <from>
                <xdr:col>3</xdr:col>
                <xdr:colOff>333375</xdr:colOff>
                <xdr:row>0</xdr:row>
                <xdr:rowOff>133350</xdr:rowOff>
              </from>
              <to>
                <xdr:col>6</xdr:col>
                <xdr:colOff>142875</xdr:colOff>
                <xdr:row>0</xdr:row>
                <xdr:rowOff>628650</xdr:rowOff>
              </to>
            </anchor>
          </controlPr>
        </control>
      </mc:Choice>
      <mc:Fallback>
        <control shapeId="6145" r:id="rId6" name="btn1Z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DA441-5B9E-4CF5-893B-E2DC674491ED}">
  <sheetPr codeName="wks_1Tm"/>
  <dimension ref="A1:K32"/>
  <sheetViews>
    <sheetView showGridLines="0" workbookViewId="0">
      <selection activeCell="N8" sqref="N8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5.625" customWidth="1"/>
    <col min="5" max="5" width="3.5" customWidth="1"/>
    <col min="6" max="6" width="14.5" bestFit="1" customWidth="1"/>
    <col min="8" max="8" width="5.625" customWidth="1"/>
  </cols>
  <sheetData>
    <row r="1" spans="1:11" ht="63.75" customHeight="1" x14ac:dyDescent="0.25"/>
    <row r="2" spans="1:11" ht="16.5" thickBot="1" x14ac:dyDescent="0.3">
      <c r="A2" s="8"/>
      <c r="B2" s="8"/>
      <c r="C2" s="8"/>
      <c r="D2" s="8"/>
      <c r="E2" s="8"/>
      <c r="F2" s="8"/>
      <c r="G2" s="8"/>
      <c r="H2" s="8"/>
    </row>
    <row r="3" spans="1:11" ht="16.5" thickBot="1" x14ac:dyDescent="0.3">
      <c r="A3" s="8"/>
      <c r="B3" s="10" t="s">
        <v>42</v>
      </c>
      <c r="C3" s="9"/>
      <c r="D3" s="8"/>
      <c r="E3" s="39" t="s">
        <v>62</v>
      </c>
      <c r="F3" s="40"/>
      <c r="G3" s="41"/>
      <c r="H3" s="8"/>
    </row>
    <row r="4" spans="1:11" ht="4.5" customHeight="1" x14ac:dyDescent="0.25">
      <c r="A4" s="8"/>
      <c r="C4" s="9"/>
      <c r="D4" s="8"/>
      <c r="H4" s="8"/>
    </row>
    <row r="5" spans="1:11" ht="17.25" x14ac:dyDescent="0.3">
      <c r="A5" s="8"/>
      <c r="B5" s="18">
        <v>10.4</v>
      </c>
      <c r="C5" s="9"/>
      <c r="D5" s="8"/>
      <c r="E5" s="11" t="s">
        <v>45</v>
      </c>
      <c r="F5" s="12" t="s">
        <v>49</v>
      </c>
      <c r="G5" s="13">
        <v>10.29</v>
      </c>
      <c r="H5" s="8"/>
    </row>
    <row r="6" spans="1:11" ht="16.5" thickBot="1" x14ac:dyDescent="0.3">
      <c r="A6" s="8"/>
      <c r="B6" s="18">
        <v>10.18</v>
      </c>
      <c r="C6" s="9"/>
      <c r="D6" s="8"/>
      <c r="E6" s="8"/>
      <c r="F6" s="8"/>
      <c r="G6" s="8"/>
      <c r="H6" s="8"/>
    </row>
    <row r="7" spans="1:11" ht="16.5" thickBot="1" x14ac:dyDescent="0.3">
      <c r="A7" s="8"/>
      <c r="B7" s="18">
        <v>10.48</v>
      </c>
      <c r="C7" s="9"/>
      <c r="D7" s="8"/>
      <c r="E7" s="39" t="s">
        <v>53</v>
      </c>
      <c r="F7" s="40"/>
      <c r="G7" s="41"/>
      <c r="H7" s="8"/>
    </row>
    <row r="8" spans="1:11" x14ac:dyDescent="0.25">
      <c r="A8" s="8"/>
      <c r="B8" s="18">
        <v>10.58</v>
      </c>
      <c r="C8" s="9"/>
      <c r="D8" s="8"/>
      <c r="E8" s="14"/>
      <c r="F8" s="15" t="s">
        <v>54</v>
      </c>
      <c r="G8" s="21">
        <v>10.408888888888889</v>
      </c>
      <c r="H8" s="8"/>
      <c r="K8" s="18"/>
    </row>
    <row r="9" spans="1:11" ht="18.75" x14ac:dyDescent="0.35">
      <c r="A9" s="8"/>
      <c r="B9" s="18">
        <v>10.220000000000001</v>
      </c>
      <c r="C9" s="9"/>
      <c r="D9" s="8"/>
      <c r="E9" s="12" t="s">
        <v>63</v>
      </c>
      <c r="F9" s="12" t="s">
        <v>73</v>
      </c>
      <c r="G9" s="16">
        <v>0.23539564802925142</v>
      </c>
      <c r="H9" s="8"/>
    </row>
    <row r="10" spans="1:11" ht="18.75" x14ac:dyDescent="0.35">
      <c r="A10" s="8"/>
      <c r="B10" s="18">
        <v>10.5</v>
      </c>
      <c r="C10" s="9"/>
      <c r="D10" s="8"/>
      <c r="E10" s="12" t="s">
        <v>60</v>
      </c>
      <c r="F10" s="12" t="s">
        <v>61</v>
      </c>
      <c r="G10" s="16">
        <v>9</v>
      </c>
      <c r="H10" s="8"/>
      <c r="K10" s="18"/>
    </row>
    <row r="11" spans="1:11" x14ac:dyDescent="0.25">
      <c r="A11" s="8"/>
      <c r="B11" s="18">
        <v>10.5</v>
      </c>
      <c r="C11" s="9"/>
      <c r="D11" s="8"/>
      <c r="E11" s="12" t="s">
        <v>67</v>
      </c>
      <c r="F11" s="12" t="s">
        <v>68</v>
      </c>
      <c r="G11" s="20">
        <v>1.5151795271183093</v>
      </c>
      <c r="H11" s="8"/>
    </row>
    <row r="12" spans="1:11" x14ac:dyDescent="0.25">
      <c r="A12" s="8"/>
      <c r="B12" s="18">
        <v>10.8</v>
      </c>
      <c r="C12" s="9"/>
      <c r="D12" s="8"/>
      <c r="H12" s="8"/>
    </row>
    <row r="13" spans="1:11" x14ac:dyDescent="0.25">
      <c r="A13" s="8"/>
      <c r="B13" s="18">
        <v>10.02</v>
      </c>
      <c r="C13" s="9"/>
      <c r="D13" s="8"/>
      <c r="G13" s="18"/>
      <c r="H13" s="8"/>
    </row>
    <row r="14" spans="1:11" x14ac:dyDescent="0.25">
      <c r="A14" s="8"/>
      <c r="B14" s="18"/>
      <c r="C14" s="9"/>
      <c r="D14" s="8"/>
      <c r="H14" s="8"/>
    </row>
    <row r="15" spans="1:11" x14ac:dyDescent="0.25">
      <c r="A15" s="8"/>
      <c r="B15" s="18"/>
      <c r="C15" s="9"/>
      <c r="D15" s="8"/>
      <c r="H15" s="8"/>
      <c r="J15" s="18"/>
    </row>
    <row r="16" spans="1:11" x14ac:dyDescent="0.25">
      <c r="A16" s="8"/>
      <c r="B16" s="18"/>
      <c r="C16" s="9"/>
      <c r="D16" s="8"/>
      <c r="H16" s="8"/>
    </row>
    <row r="17" spans="1:8" x14ac:dyDescent="0.25">
      <c r="A17" s="8"/>
      <c r="B17" s="18"/>
      <c r="C17" s="9"/>
      <c r="D17" s="8"/>
      <c r="H17" s="8"/>
    </row>
    <row r="18" spans="1:8" x14ac:dyDescent="0.25">
      <c r="A18" s="8"/>
      <c r="B18" s="18"/>
      <c r="C18" s="9"/>
      <c r="D18" s="8"/>
      <c r="H18" s="8"/>
    </row>
    <row r="19" spans="1:8" x14ac:dyDescent="0.25">
      <c r="A19" s="8"/>
      <c r="C19" s="9"/>
      <c r="D19" s="8"/>
      <c r="H19" s="8"/>
    </row>
    <row r="20" spans="1:8" x14ac:dyDescent="0.25">
      <c r="A20" s="8"/>
      <c r="C20" s="9"/>
      <c r="D20" s="8"/>
      <c r="H20" s="8"/>
    </row>
    <row r="21" spans="1:8" x14ac:dyDescent="0.25">
      <c r="A21" s="8"/>
      <c r="C21" s="9"/>
      <c r="D21" s="8"/>
      <c r="H21" s="8"/>
    </row>
    <row r="22" spans="1:8" x14ac:dyDescent="0.25">
      <c r="A22" s="8"/>
      <c r="C22" s="9"/>
      <c r="D22" s="8"/>
      <c r="H22" s="8"/>
    </row>
    <row r="23" spans="1:8" x14ac:dyDescent="0.25">
      <c r="A23" s="8"/>
      <c r="C23" s="9"/>
      <c r="D23" s="8"/>
      <c r="H23" s="8"/>
    </row>
    <row r="24" spans="1:8" x14ac:dyDescent="0.25">
      <c r="A24" s="8"/>
      <c r="C24" s="9"/>
      <c r="D24" s="8"/>
      <c r="H24" s="8"/>
    </row>
    <row r="25" spans="1:8" x14ac:dyDescent="0.25">
      <c r="A25" s="8"/>
      <c r="C25" s="9"/>
      <c r="D25" s="8"/>
      <c r="H25" s="8"/>
    </row>
    <row r="26" spans="1:8" x14ac:dyDescent="0.25">
      <c r="A26" s="8"/>
      <c r="C26" s="9"/>
      <c r="D26" s="8"/>
      <c r="H26" s="8"/>
    </row>
    <row r="27" spans="1:8" x14ac:dyDescent="0.25">
      <c r="A27" s="8"/>
      <c r="C27" s="9"/>
      <c r="D27" s="8"/>
      <c r="H27" s="8"/>
    </row>
    <row r="28" spans="1:8" x14ac:dyDescent="0.25">
      <c r="A28" s="8"/>
      <c r="C28" s="9"/>
      <c r="D28" s="8"/>
      <c r="H28" s="8"/>
    </row>
    <row r="29" spans="1:8" x14ac:dyDescent="0.25">
      <c r="A29" s="8"/>
      <c r="C29" s="9"/>
      <c r="D29" s="8"/>
      <c r="H29" s="8"/>
    </row>
    <row r="30" spans="1:8" x14ac:dyDescent="0.25">
      <c r="A30" s="8"/>
      <c r="C30" s="9"/>
      <c r="D30" s="8"/>
      <c r="H30" s="8"/>
    </row>
    <row r="31" spans="1:8" x14ac:dyDescent="0.25">
      <c r="A31" s="8"/>
      <c r="C31" s="9"/>
      <c r="D31" s="8"/>
      <c r="H31" s="8"/>
    </row>
    <row r="32" spans="1:8" x14ac:dyDescent="0.25">
      <c r="A32" s="8"/>
      <c r="C32" s="9"/>
      <c r="D32" s="8"/>
      <c r="H32" s="8"/>
    </row>
  </sheetData>
  <dataConsolidate/>
  <mergeCells count="2">
    <mergeCell ref="E3:G3"/>
    <mergeCell ref="E7:G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btnBack">
          <controlPr defaultSize="0" autoLine="0" r:id="rId5">
            <anchor moveWithCells="1">
              <from>
                <xdr:col>10</xdr:col>
                <xdr:colOff>0</xdr:colOff>
                <xdr:row>0</xdr:row>
                <xdr:rowOff>133350</xdr:rowOff>
              </from>
              <to>
                <xdr:col>13</xdr:col>
                <xdr:colOff>161925</xdr:colOff>
                <xdr:row>0</xdr:row>
                <xdr:rowOff>438150</xdr:rowOff>
              </to>
            </anchor>
          </controlPr>
        </control>
      </mc:Choice>
      <mc:Fallback>
        <control shapeId="8194" r:id="rId4" name="btnBack"/>
      </mc:Fallback>
    </mc:AlternateContent>
    <mc:AlternateContent xmlns:mc="http://schemas.openxmlformats.org/markup-compatibility/2006">
      <mc:Choice Requires="x14">
        <control shapeId="8193" r:id="rId6" name="btn1Tm">
          <controlPr defaultSize="0" autoLine="0" r:id="rId7">
            <anchor moveWithCells="1">
              <from>
                <xdr:col>3</xdr:col>
                <xdr:colOff>333375</xdr:colOff>
                <xdr:row>0</xdr:row>
                <xdr:rowOff>133350</xdr:rowOff>
              </from>
              <to>
                <xdr:col>6</xdr:col>
                <xdr:colOff>142875</xdr:colOff>
                <xdr:row>0</xdr:row>
                <xdr:rowOff>628650</xdr:rowOff>
              </to>
            </anchor>
          </controlPr>
        </control>
      </mc:Choice>
      <mc:Fallback>
        <control shapeId="8193" r:id="rId6" name="btn1Tm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3400-AE22-4A6C-8D1E-DFFE0A737F2D}">
  <sheetPr codeName="wks_2Td"/>
  <dimension ref="A1:K32"/>
  <sheetViews>
    <sheetView showGridLines="0" workbookViewId="0">
      <selection activeCell="M5" sqref="M5"/>
    </sheetView>
  </sheetViews>
  <sheetFormatPr defaultRowHeight="15.75" x14ac:dyDescent="0.25"/>
  <cols>
    <col min="1" max="1" width="5.625" customWidth="1"/>
    <col min="2" max="2" width="13.75" bestFit="1" customWidth="1"/>
    <col min="3" max="3" width="0.875" customWidth="1"/>
    <col min="4" max="4" width="13.75" bestFit="1" customWidth="1"/>
    <col min="5" max="5" width="1" customWidth="1"/>
    <col min="6" max="6" width="20" bestFit="1" customWidth="1"/>
    <col min="7" max="7" width="10" customWidth="1"/>
    <col min="8" max="8" width="2.75" bestFit="1" customWidth="1"/>
    <col min="9" max="9" width="17.375" bestFit="1" customWidth="1"/>
    <col min="13" max="13" width="29.125" bestFit="1" customWidth="1"/>
  </cols>
  <sheetData>
    <row r="1" spans="1:11" ht="63.75" customHeight="1" x14ac:dyDescent="0.25"/>
    <row r="2" spans="1:11" ht="16.5" thickBo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</row>
    <row r="3" spans="1:11" ht="16.5" thickBot="1" x14ac:dyDescent="0.3">
      <c r="A3" s="8"/>
      <c r="B3" s="10" t="s">
        <v>42</v>
      </c>
      <c r="C3" s="9"/>
      <c r="D3" s="10" t="s">
        <v>43</v>
      </c>
      <c r="E3" s="9"/>
      <c r="F3" s="10" t="s">
        <v>74</v>
      </c>
      <c r="G3" s="8"/>
      <c r="H3" s="39" t="s">
        <v>62</v>
      </c>
      <c r="I3" s="40"/>
      <c r="J3" s="41"/>
      <c r="K3" s="8"/>
    </row>
    <row r="4" spans="1:11" ht="4.5" customHeight="1" x14ac:dyDescent="0.25">
      <c r="A4" s="8"/>
      <c r="C4" s="9"/>
      <c r="E4" s="9"/>
      <c r="G4" s="8"/>
      <c r="K4" s="8"/>
    </row>
    <row r="5" spans="1:11" ht="17.25" x14ac:dyDescent="0.3">
      <c r="A5" s="8"/>
      <c r="B5" s="18">
        <v>10.4</v>
      </c>
      <c r="C5" s="9"/>
      <c r="D5" s="18">
        <v>13.151745689682597</v>
      </c>
      <c r="E5" s="9"/>
      <c r="F5" s="23">
        <f>ABS(B5-D5)</f>
        <v>2.7517456896825969</v>
      </c>
      <c r="G5" s="8"/>
      <c r="H5" s="11" t="s">
        <v>45</v>
      </c>
      <c r="I5" s="12" t="s">
        <v>75</v>
      </c>
      <c r="J5" s="13">
        <v>3.5</v>
      </c>
      <c r="K5" s="8"/>
    </row>
    <row r="6" spans="1:11" ht="16.5" thickBot="1" x14ac:dyDescent="0.3">
      <c r="A6" s="8"/>
      <c r="B6" s="18">
        <v>10.18</v>
      </c>
      <c r="C6" s="9"/>
      <c r="D6" s="18">
        <v>13.28757866863495</v>
      </c>
      <c r="E6" s="9"/>
      <c r="F6" s="23">
        <f t="shared" ref="F6:F13" si="0">ABS(B6-D6)</f>
        <v>3.1075786686349502</v>
      </c>
      <c r="G6" s="8"/>
      <c r="H6" s="8"/>
      <c r="I6" s="8"/>
      <c r="J6" s="8"/>
      <c r="K6" s="8"/>
    </row>
    <row r="7" spans="1:11" ht="16.5" thickBot="1" x14ac:dyDescent="0.3">
      <c r="A7" s="8"/>
      <c r="B7" s="18">
        <v>10.48</v>
      </c>
      <c r="C7" s="9"/>
      <c r="D7" s="18">
        <v>13.322238916548807</v>
      </c>
      <c r="E7" s="9"/>
      <c r="F7" s="23">
        <f t="shared" si="0"/>
        <v>2.8422389165488067</v>
      </c>
      <c r="G7" s="8"/>
      <c r="H7" s="39" t="s">
        <v>53</v>
      </c>
      <c r="I7" s="40"/>
      <c r="J7" s="41"/>
      <c r="K7" s="8"/>
    </row>
    <row r="8" spans="1:11" x14ac:dyDescent="0.25">
      <c r="A8" s="8"/>
      <c r="B8" s="18">
        <v>10.58</v>
      </c>
      <c r="C8" s="9"/>
      <c r="D8" s="18">
        <v>12.33</v>
      </c>
      <c r="E8" s="9"/>
      <c r="F8" s="23">
        <f t="shared" si="0"/>
        <v>1.75</v>
      </c>
      <c r="G8" s="8"/>
      <c r="H8" s="14"/>
      <c r="I8" s="15" t="s">
        <v>76</v>
      </c>
      <c r="J8" s="21">
        <v>2.8517902114991345</v>
      </c>
      <c r="K8" s="8"/>
    </row>
    <row r="9" spans="1:11" ht="18.75" x14ac:dyDescent="0.35">
      <c r="A9" s="8"/>
      <c r="B9" s="18">
        <v>10.220000000000001</v>
      </c>
      <c r="C9" s="9"/>
      <c r="D9" s="18">
        <v>13.320449856172649</v>
      </c>
      <c r="E9" s="9"/>
      <c r="F9" s="23">
        <f t="shared" si="0"/>
        <v>3.1004498561726486</v>
      </c>
      <c r="G9" s="8"/>
      <c r="H9" s="12" t="s">
        <v>63</v>
      </c>
      <c r="I9" s="12" t="s">
        <v>77</v>
      </c>
      <c r="J9" s="22">
        <v>0.60536588648769984</v>
      </c>
      <c r="K9" s="8"/>
    </row>
    <row r="10" spans="1:11" ht="18.75" x14ac:dyDescent="0.35">
      <c r="A10" s="8"/>
      <c r="B10" s="18">
        <v>10.5</v>
      </c>
      <c r="C10" s="9"/>
      <c r="D10" s="18">
        <v>12.86</v>
      </c>
      <c r="E10" s="9"/>
      <c r="F10" s="23">
        <f t="shared" si="0"/>
        <v>2.3599999999999994</v>
      </c>
      <c r="G10" s="8"/>
      <c r="H10" s="12" t="s">
        <v>60</v>
      </c>
      <c r="I10" s="12" t="s">
        <v>78</v>
      </c>
      <c r="J10" s="16">
        <v>9</v>
      </c>
      <c r="K10" s="8"/>
    </row>
    <row r="11" spans="1:11" x14ac:dyDescent="0.25">
      <c r="A11" s="8"/>
      <c r="B11" s="18">
        <v>10.5</v>
      </c>
      <c r="C11" s="9"/>
      <c r="D11" s="18">
        <v>13.279780911365005</v>
      </c>
      <c r="E11" s="9"/>
      <c r="F11" s="23">
        <f t="shared" si="0"/>
        <v>2.7797809113650054</v>
      </c>
      <c r="G11" s="8"/>
      <c r="H11" s="12" t="s">
        <v>67</v>
      </c>
      <c r="I11" s="12" t="s">
        <v>68</v>
      </c>
      <c r="J11" s="20">
        <v>-3.212320695480928</v>
      </c>
      <c r="K11" s="8"/>
    </row>
    <row r="12" spans="1:11" x14ac:dyDescent="0.25">
      <c r="A12" s="8"/>
      <c r="B12" s="18">
        <v>10.8</v>
      </c>
      <c r="C12" s="9"/>
      <c r="D12" s="18">
        <v>13.361679579597897</v>
      </c>
      <c r="E12" s="9"/>
      <c r="F12" s="23">
        <v>4</v>
      </c>
      <c r="G12" s="8"/>
      <c r="K12" s="8"/>
    </row>
    <row r="13" spans="1:11" x14ac:dyDescent="0.25">
      <c r="A13" s="8"/>
      <c r="B13" s="18">
        <v>10.02</v>
      </c>
      <c r="C13" s="9"/>
      <c r="D13" s="18">
        <v>12.994317861088202</v>
      </c>
      <c r="E13" s="9"/>
      <c r="F13" s="23">
        <f t="shared" si="0"/>
        <v>2.9743178610882026</v>
      </c>
      <c r="G13" s="8"/>
      <c r="J13" s="18"/>
      <c r="K13" s="8"/>
    </row>
    <row r="14" spans="1:11" x14ac:dyDescent="0.25">
      <c r="A14" s="8"/>
      <c r="B14" s="18"/>
      <c r="C14" s="9"/>
      <c r="D14" s="18"/>
      <c r="E14" s="9"/>
      <c r="F14" s="23"/>
      <c r="G14" s="8"/>
      <c r="K14" s="8"/>
    </row>
    <row r="15" spans="1:11" x14ac:dyDescent="0.25">
      <c r="A15" s="8"/>
      <c r="B15" s="18"/>
      <c r="C15" s="9"/>
      <c r="D15" s="18"/>
      <c r="E15" s="9"/>
      <c r="F15" s="23"/>
      <c r="G15" s="8"/>
      <c r="K15" s="8"/>
    </row>
    <row r="16" spans="1:11" x14ac:dyDescent="0.25">
      <c r="A16" s="8"/>
      <c r="B16" s="18"/>
      <c r="C16" s="9"/>
      <c r="D16" s="18"/>
      <c r="E16" s="9"/>
      <c r="F16" s="23"/>
      <c r="G16" s="8"/>
      <c r="K16" s="8"/>
    </row>
    <row r="17" spans="1:11" x14ac:dyDescent="0.25">
      <c r="A17" s="8"/>
      <c r="B17" s="18"/>
      <c r="C17" s="9"/>
      <c r="E17" s="9"/>
      <c r="F17" s="23"/>
      <c r="G17" s="8"/>
      <c r="K17" s="8"/>
    </row>
    <row r="18" spans="1:11" x14ac:dyDescent="0.25">
      <c r="A18" s="8"/>
      <c r="B18" s="18"/>
      <c r="C18" s="9"/>
      <c r="E18" s="9"/>
      <c r="F18" s="23"/>
      <c r="G18" s="8"/>
      <c r="K18" s="8"/>
    </row>
    <row r="19" spans="1:11" x14ac:dyDescent="0.25">
      <c r="A19" s="8"/>
      <c r="C19" s="9"/>
      <c r="E19" s="9"/>
      <c r="F19" s="23"/>
      <c r="G19" s="8"/>
      <c r="K19" s="8"/>
    </row>
    <row r="20" spans="1:11" x14ac:dyDescent="0.25">
      <c r="A20" s="8"/>
      <c r="C20" s="9"/>
      <c r="E20" s="9"/>
      <c r="F20" s="23"/>
      <c r="G20" s="8"/>
      <c r="K20" s="8"/>
    </row>
    <row r="21" spans="1:11" x14ac:dyDescent="0.25">
      <c r="A21" s="8"/>
      <c r="C21" s="9"/>
      <c r="E21" s="9"/>
      <c r="F21" s="23"/>
      <c r="G21" s="8"/>
      <c r="K21" s="8"/>
    </row>
    <row r="22" spans="1:11" x14ac:dyDescent="0.25">
      <c r="A22" s="8"/>
      <c r="C22" s="9"/>
      <c r="E22" s="9"/>
      <c r="F22" s="23"/>
      <c r="G22" s="8"/>
      <c r="K22" s="8"/>
    </row>
    <row r="23" spans="1:11" x14ac:dyDescent="0.25">
      <c r="A23" s="8"/>
      <c r="C23" s="9"/>
      <c r="E23" s="9"/>
      <c r="F23" s="23"/>
      <c r="G23" s="8"/>
      <c r="K23" s="8"/>
    </row>
    <row r="24" spans="1:11" x14ac:dyDescent="0.25">
      <c r="A24" s="8"/>
      <c r="C24" s="9"/>
      <c r="E24" s="9"/>
      <c r="F24" s="23"/>
      <c r="G24" s="8"/>
      <c r="K24" s="8"/>
    </row>
    <row r="25" spans="1:11" x14ac:dyDescent="0.25">
      <c r="A25" s="8"/>
      <c r="C25" s="9"/>
      <c r="E25" s="9"/>
      <c r="F25" s="23"/>
      <c r="G25" s="8"/>
      <c r="K25" s="8"/>
    </row>
    <row r="26" spans="1:11" x14ac:dyDescent="0.25">
      <c r="A26" s="8"/>
      <c r="C26" s="9"/>
      <c r="E26" s="9"/>
      <c r="F26" s="23"/>
      <c r="G26" s="8"/>
      <c r="K26" s="8"/>
    </row>
    <row r="27" spans="1:11" x14ac:dyDescent="0.25">
      <c r="A27" s="8"/>
      <c r="C27" s="9"/>
      <c r="E27" s="9"/>
      <c r="F27" s="23"/>
      <c r="G27" s="8"/>
      <c r="K27" s="8"/>
    </row>
    <row r="28" spans="1:11" x14ac:dyDescent="0.25">
      <c r="A28" s="8"/>
      <c r="C28" s="9"/>
      <c r="E28" s="9"/>
      <c r="F28" s="23"/>
      <c r="G28" s="8"/>
      <c r="K28" s="8"/>
    </row>
    <row r="29" spans="1:11" x14ac:dyDescent="0.25">
      <c r="A29" s="8"/>
      <c r="C29" s="9"/>
      <c r="E29" s="9"/>
      <c r="F29" s="23"/>
      <c r="G29" s="8"/>
      <c r="K29" s="8"/>
    </row>
    <row r="30" spans="1:11" x14ac:dyDescent="0.25">
      <c r="A30" s="8"/>
      <c r="C30" s="9"/>
      <c r="E30" s="9"/>
      <c r="F30" s="23"/>
      <c r="G30" s="8"/>
      <c r="K30" s="8"/>
    </row>
    <row r="31" spans="1:11" x14ac:dyDescent="0.25">
      <c r="A31" s="8"/>
      <c r="C31" s="9"/>
      <c r="E31" s="9"/>
      <c r="F31" s="23"/>
      <c r="G31" s="8"/>
      <c r="K31" s="8"/>
    </row>
    <row r="32" spans="1:11" x14ac:dyDescent="0.25">
      <c r="A32" s="8"/>
      <c r="C32" s="9"/>
      <c r="E32" s="9"/>
      <c r="F32" s="23"/>
      <c r="G32" s="8"/>
      <c r="K32" s="8"/>
    </row>
  </sheetData>
  <dataConsolidate/>
  <mergeCells count="2">
    <mergeCell ref="H3:J3"/>
    <mergeCell ref="H7:J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btnBack">
          <controlPr defaultSize="0" autoLine="0" r:id="rId5">
            <anchor moveWithCells="1">
              <from>
                <xdr:col>9</xdr:col>
                <xdr:colOff>657225</xdr:colOff>
                <xdr:row>0</xdr:row>
                <xdr:rowOff>95250</xdr:rowOff>
              </from>
              <to>
                <xdr:col>12</xdr:col>
                <xdr:colOff>819150</xdr:colOff>
                <xdr:row>0</xdr:row>
                <xdr:rowOff>400050</xdr:rowOff>
              </to>
            </anchor>
          </controlPr>
        </control>
      </mc:Choice>
      <mc:Fallback>
        <control shapeId="9218" r:id="rId4" name="btnBack"/>
      </mc:Fallback>
    </mc:AlternateContent>
    <mc:AlternateContent xmlns:mc="http://schemas.openxmlformats.org/markup-compatibility/2006">
      <mc:Choice Requires="x14">
        <control shapeId="9217" r:id="rId6" name="btn2Td">
          <controlPr defaultSize="0" autoLine="0" r:id="rId7">
            <anchor moveWithCells="1">
              <from>
                <xdr:col>3</xdr:col>
                <xdr:colOff>333375</xdr:colOff>
                <xdr:row>0</xdr:row>
                <xdr:rowOff>133350</xdr:rowOff>
              </from>
              <to>
                <xdr:col>5</xdr:col>
                <xdr:colOff>819150</xdr:colOff>
                <xdr:row>0</xdr:row>
                <xdr:rowOff>628650</xdr:rowOff>
              </to>
            </anchor>
          </controlPr>
        </control>
      </mc:Choice>
      <mc:Fallback>
        <control shapeId="9217" r:id="rId6" name="btn2T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6D45-20E5-4F56-8CBF-18DA77A9EF86}">
  <sheetPr codeName="wks_Tables"/>
  <dimension ref="B3:K41"/>
  <sheetViews>
    <sheetView workbookViewId="0">
      <selection activeCell="F13" sqref="F13"/>
    </sheetView>
  </sheetViews>
  <sheetFormatPr defaultRowHeight="15.75" x14ac:dyDescent="0.25"/>
  <sheetData>
    <row r="3" spans="2:11" x14ac:dyDescent="0.25">
      <c r="B3" s="17" t="s">
        <v>56</v>
      </c>
      <c r="C3" s="17" t="s">
        <v>26</v>
      </c>
      <c r="E3" s="12" t="s">
        <v>71</v>
      </c>
      <c r="F3" s="12">
        <v>0.1</v>
      </c>
      <c r="G3" s="12">
        <v>0.05</v>
      </c>
      <c r="H3" s="12">
        <v>2.5000000000000001E-2</v>
      </c>
      <c r="I3" s="12">
        <v>0.01</v>
      </c>
      <c r="J3" s="12">
        <v>5.0000000000000001E-3</v>
      </c>
      <c r="K3" s="12">
        <v>5.0000000000000001E-4</v>
      </c>
    </row>
    <row r="4" spans="2:11" x14ac:dyDescent="0.25">
      <c r="B4" s="12">
        <v>1.65</v>
      </c>
      <c r="C4" s="12">
        <v>0.1</v>
      </c>
      <c r="E4" s="12" t="s">
        <v>72</v>
      </c>
      <c r="F4" s="12">
        <v>0.2</v>
      </c>
      <c r="G4" s="12">
        <v>0.1</v>
      </c>
      <c r="H4" s="12">
        <v>0.05</v>
      </c>
      <c r="I4" s="12">
        <v>0.02</v>
      </c>
      <c r="J4" s="12">
        <v>0.01</v>
      </c>
      <c r="K4" s="12">
        <v>1E-3</v>
      </c>
    </row>
    <row r="5" spans="2:11" x14ac:dyDescent="0.25">
      <c r="B5" s="12">
        <v>1.96</v>
      </c>
      <c r="C5" s="12">
        <v>0.05</v>
      </c>
      <c r="E5" s="12" t="s">
        <v>70</v>
      </c>
      <c r="F5" s="12"/>
      <c r="G5" s="12"/>
      <c r="H5" s="12"/>
      <c r="I5" s="12"/>
      <c r="J5" s="12"/>
      <c r="K5" s="12"/>
    </row>
    <row r="6" spans="2:11" x14ac:dyDescent="0.25">
      <c r="B6" s="12">
        <v>2.58</v>
      </c>
      <c r="C6" s="12">
        <v>0.01</v>
      </c>
      <c r="E6" s="12">
        <v>1</v>
      </c>
      <c r="F6" s="12">
        <v>3.0779999999999998</v>
      </c>
      <c r="G6" s="12">
        <v>6.3140000000000001</v>
      </c>
      <c r="H6" s="12">
        <v>12.71</v>
      </c>
      <c r="I6" s="12">
        <v>31.82</v>
      </c>
      <c r="J6" s="12">
        <v>63.66</v>
      </c>
      <c r="K6" s="12">
        <v>636.62</v>
      </c>
    </row>
    <row r="7" spans="2:11" x14ac:dyDescent="0.25">
      <c r="E7" s="12">
        <v>2</v>
      </c>
      <c r="F7" s="12">
        <v>1.8859999999999999</v>
      </c>
      <c r="G7" s="12">
        <v>2.92</v>
      </c>
      <c r="H7" s="12">
        <v>4.3029999999999999</v>
      </c>
      <c r="I7" s="12">
        <v>6.9649999999999999</v>
      </c>
      <c r="J7" s="12">
        <v>9.9250000000000007</v>
      </c>
      <c r="K7" s="12">
        <v>31.599</v>
      </c>
    </row>
    <row r="8" spans="2:11" x14ac:dyDescent="0.25">
      <c r="E8" s="12">
        <v>3</v>
      </c>
      <c r="F8" s="12">
        <v>1.6379999999999999</v>
      </c>
      <c r="G8" s="12">
        <v>2.3530000000000002</v>
      </c>
      <c r="H8" s="12">
        <v>3.1819999999999999</v>
      </c>
      <c r="I8" s="12">
        <v>4.5410000000000004</v>
      </c>
      <c r="J8" s="12">
        <v>5.8410000000000002</v>
      </c>
      <c r="K8" s="12">
        <v>12.923999999999999</v>
      </c>
    </row>
    <row r="9" spans="2:11" x14ac:dyDescent="0.25">
      <c r="E9" s="12">
        <v>4</v>
      </c>
      <c r="F9" s="12">
        <v>1.5329999999999999</v>
      </c>
      <c r="G9" s="12">
        <v>2.1320000000000001</v>
      </c>
      <c r="H9" s="12">
        <v>2.7759999999999998</v>
      </c>
      <c r="I9" s="12">
        <v>3.7469999999999999</v>
      </c>
      <c r="J9" s="12">
        <v>4.6040000000000001</v>
      </c>
      <c r="K9" s="12">
        <v>8.61</v>
      </c>
    </row>
    <row r="10" spans="2:11" x14ac:dyDescent="0.25">
      <c r="E10" s="12">
        <v>5</v>
      </c>
      <c r="F10" s="12">
        <v>1.476</v>
      </c>
      <c r="G10" s="12">
        <v>2.0150000000000001</v>
      </c>
      <c r="H10" s="12">
        <v>2.5710000000000002</v>
      </c>
      <c r="I10" s="12">
        <v>3.3650000000000002</v>
      </c>
      <c r="J10" s="12">
        <v>4.032</v>
      </c>
      <c r="K10" s="12">
        <v>6.8689999999999998</v>
      </c>
    </row>
    <row r="11" spans="2:11" x14ac:dyDescent="0.25">
      <c r="E11" s="12">
        <v>6</v>
      </c>
      <c r="F11" s="12">
        <v>1.44</v>
      </c>
      <c r="G11" s="12">
        <v>1.9430000000000001</v>
      </c>
      <c r="H11" s="12">
        <v>2.4470000000000001</v>
      </c>
      <c r="I11" s="12">
        <v>3.1429999999999998</v>
      </c>
      <c r="J11" s="12">
        <v>3.7069999999999999</v>
      </c>
      <c r="K11" s="12">
        <v>5.9589999999999996</v>
      </c>
    </row>
    <row r="12" spans="2:11" x14ac:dyDescent="0.25">
      <c r="E12" s="12">
        <v>7</v>
      </c>
      <c r="F12" s="12">
        <v>1.415</v>
      </c>
      <c r="G12" s="12">
        <v>1.895</v>
      </c>
      <c r="H12" s="12">
        <v>2.3650000000000002</v>
      </c>
      <c r="I12" s="12">
        <v>2.9980000000000002</v>
      </c>
      <c r="J12" s="12">
        <v>3.4990000000000001</v>
      </c>
      <c r="K12" s="12">
        <v>5.4080000000000004</v>
      </c>
    </row>
    <row r="13" spans="2:11" x14ac:dyDescent="0.25">
      <c r="E13" s="12">
        <v>8</v>
      </c>
      <c r="F13" s="12">
        <v>1.397</v>
      </c>
      <c r="G13" s="12">
        <v>1.86</v>
      </c>
      <c r="H13" s="12">
        <v>2.306</v>
      </c>
      <c r="I13" s="12">
        <v>2.8959999999999999</v>
      </c>
      <c r="J13" s="12">
        <v>3.355</v>
      </c>
      <c r="K13" s="12">
        <v>5.0410000000000004</v>
      </c>
    </row>
    <row r="14" spans="2:11" x14ac:dyDescent="0.25">
      <c r="E14" s="12">
        <v>9</v>
      </c>
      <c r="F14" s="12">
        <v>1.383</v>
      </c>
      <c r="G14" s="12">
        <v>1.833</v>
      </c>
      <c r="H14" s="12">
        <v>2.262</v>
      </c>
      <c r="I14" s="12">
        <v>2.8210000000000002</v>
      </c>
      <c r="J14" s="12">
        <v>3.25</v>
      </c>
      <c r="K14" s="12">
        <v>4.7809999999999997</v>
      </c>
    </row>
    <row r="15" spans="2:11" x14ac:dyDescent="0.25">
      <c r="E15" s="12">
        <v>10</v>
      </c>
      <c r="F15" s="12">
        <v>1.3720000000000001</v>
      </c>
      <c r="G15" s="12">
        <v>1.8120000000000001</v>
      </c>
      <c r="H15" s="12">
        <v>2.2280000000000002</v>
      </c>
      <c r="I15" s="12">
        <v>2.7639999999999998</v>
      </c>
      <c r="J15" s="12">
        <v>3.169</v>
      </c>
      <c r="K15" s="12">
        <v>4.5869999999999997</v>
      </c>
    </row>
    <row r="16" spans="2:11" x14ac:dyDescent="0.25">
      <c r="E16" s="12">
        <v>11</v>
      </c>
      <c r="F16" s="12">
        <v>1.363</v>
      </c>
      <c r="G16" s="12">
        <v>1.796</v>
      </c>
      <c r="H16" s="12">
        <v>2.2010000000000001</v>
      </c>
      <c r="I16" s="12">
        <v>2.718</v>
      </c>
      <c r="J16" s="12">
        <v>3.1059999999999999</v>
      </c>
      <c r="K16" s="12">
        <v>4.4370000000000003</v>
      </c>
    </row>
    <row r="17" spans="5:11" x14ac:dyDescent="0.25">
      <c r="E17" s="12">
        <v>12</v>
      </c>
      <c r="F17" s="12">
        <v>1.3560000000000001</v>
      </c>
      <c r="G17" s="12">
        <v>1.782</v>
      </c>
      <c r="H17" s="12">
        <v>2.1789999999999998</v>
      </c>
      <c r="I17" s="12">
        <v>2.681</v>
      </c>
      <c r="J17" s="12">
        <v>3.0550000000000002</v>
      </c>
      <c r="K17" s="12">
        <v>4.3179999999999996</v>
      </c>
    </row>
    <row r="18" spans="5:11" x14ac:dyDescent="0.25">
      <c r="E18" s="12">
        <v>13</v>
      </c>
      <c r="F18" s="12">
        <v>1.35</v>
      </c>
      <c r="G18" s="12">
        <v>1.7709999999999999</v>
      </c>
      <c r="H18" s="12">
        <v>2.16</v>
      </c>
      <c r="I18" s="12">
        <v>2.65</v>
      </c>
      <c r="J18" s="12">
        <v>3.012</v>
      </c>
      <c r="K18" s="12">
        <v>4.2210000000000001</v>
      </c>
    </row>
    <row r="19" spans="5:11" x14ac:dyDescent="0.25">
      <c r="E19" s="12">
        <v>14</v>
      </c>
      <c r="F19" s="12">
        <v>1.345</v>
      </c>
      <c r="G19" s="12">
        <v>1.7609999999999999</v>
      </c>
      <c r="H19" s="12">
        <v>2.145</v>
      </c>
      <c r="I19" s="12">
        <v>2.6240000000000001</v>
      </c>
      <c r="J19" s="12">
        <v>2.9769999999999999</v>
      </c>
      <c r="K19" s="12">
        <v>4.1399999999999997</v>
      </c>
    </row>
    <row r="20" spans="5:11" x14ac:dyDescent="0.25">
      <c r="E20" s="12">
        <v>15</v>
      </c>
      <c r="F20" s="12">
        <v>1.341</v>
      </c>
      <c r="G20" s="12">
        <v>1.7529999999999999</v>
      </c>
      <c r="H20" s="12">
        <v>2.1309999999999998</v>
      </c>
      <c r="I20" s="12">
        <v>2.6019999999999999</v>
      </c>
      <c r="J20" s="12">
        <v>2.9470000000000001</v>
      </c>
      <c r="K20" s="12">
        <v>4.0730000000000004</v>
      </c>
    </row>
    <row r="21" spans="5:11" x14ac:dyDescent="0.25">
      <c r="E21" s="12">
        <v>16</v>
      </c>
      <c r="F21" s="12">
        <v>1.337</v>
      </c>
      <c r="G21" s="12">
        <v>1.746</v>
      </c>
      <c r="H21" s="12">
        <v>2.12</v>
      </c>
      <c r="I21" s="12">
        <v>2.5830000000000002</v>
      </c>
      <c r="J21" s="12">
        <v>2.9209999999999998</v>
      </c>
      <c r="K21" s="12">
        <v>4.0149999999999997</v>
      </c>
    </row>
    <row r="22" spans="5:11" x14ac:dyDescent="0.25">
      <c r="E22" s="12">
        <v>17</v>
      </c>
      <c r="F22" s="12">
        <v>1.333</v>
      </c>
      <c r="G22" s="12">
        <v>1.74</v>
      </c>
      <c r="H22" s="12">
        <v>2.11</v>
      </c>
      <c r="I22" s="12">
        <v>2.5670000000000002</v>
      </c>
      <c r="J22" s="12">
        <v>2.8980000000000001</v>
      </c>
      <c r="K22" s="12">
        <v>3.9649999999999999</v>
      </c>
    </row>
    <row r="23" spans="5:11" x14ac:dyDescent="0.25">
      <c r="E23" s="12">
        <v>18</v>
      </c>
      <c r="F23" s="12">
        <v>1.33</v>
      </c>
      <c r="G23" s="12">
        <v>1.734</v>
      </c>
      <c r="H23" s="12">
        <v>2.101</v>
      </c>
      <c r="I23" s="12">
        <v>2.552</v>
      </c>
      <c r="J23" s="12">
        <v>2.8780000000000001</v>
      </c>
      <c r="K23" s="12">
        <v>3.9220000000000002</v>
      </c>
    </row>
    <row r="24" spans="5:11" x14ac:dyDescent="0.25">
      <c r="E24" s="12">
        <v>19</v>
      </c>
      <c r="F24" s="12">
        <v>1.3280000000000001</v>
      </c>
      <c r="G24" s="12">
        <v>1.7290000000000001</v>
      </c>
      <c r="H24" s="12">
        <v>2.093</v>
      </c>
      <c r="I24" s="12">
        <v>2.5390000000000001</v>
      </c>
      <c r="J24" s="12">
        <v>2.8610000000000002</v>
      </c>
      <c r="K24" s="12">
        <v>3.883</v>
      </c>
    </row>
    <row r="25" spans="5:11" x14ac:dyDescent="0.25">
      <c r="E25" s="12">
        <v>20</v>
      </c>
      <c r="F25" s="12">
        <v>1.325</v>
      </c>
      <c r="G25" s="12">
        <v>1.7250000000000001</v>
      </c>
      <c r="H25" s="12">
        <v>2.0859999999999999</v>
      </c>
      <c r="I25" s="12">
        <v>2.528</v>
      </c>
      <c r="J25" s="12">
        <v>2.8450000000000002</v>
      </c>
      <c r="K25" s="12">
        <v>3.85</v>
      </c>
    </row>
    <row r="26" spans="5:11" x14ac:dyDescent="0.25">
      <c r="E26" s="12">
        <v>21</v>
      </c>
      <c r="F26" s="12">
        <v>1.323</v>
      </c>
      <c r="G26" s="12">
        <v>1.7210000000000001</v>
      </c>
      <c r="H26" s="12">
        <v>2.08</v>
      </c>
      <c r="I26" s="12">
        <v>2.5179999999999998</v>
      </c>
      <c r="J26" s="12">
        <v>2.831</v>
      </c>
      <c r="K26" s="12">
        <v>3.819</v>
      </c>
    </row>
    <row r="27" spans="5:11" x14ac:dyDescent="0.25">
      <c r="E27" s="12">
        <v>22</v>
      </c>
      <c r="F27" s="12">
        <v>1.321</v>
      </c>
      <c r="G27" s="12">
        <v>1.7170000000000001</v>
      </c>
      <c r="H27" s="12">
        <v>2.0739999999999998</v>
      </c>
      <c r="I27" s="12">
        <v>2.508</v>
      </c>
      <c r="J27" s="12">
        <v>2.819</v>
      </c>
      <c r="K27" s="12">
        <v>3.7919999999999998</v>
      </c>
    </row>
    <row r="28" spans="5:11" x14ac:dyDescent="0.25">
      <c r="E28" s="12">
        <v>23</v>
      </c>
      <c r="F28" s="12">
        <v>1.319</v>
      </c>
      <c r="G28" s="12">
        <v>1.714</v>
      </c>
      <c r="H28" s="12">
        <v>2.069</v>
      </c>
      <c r="I28" s="12">
        <v>2.5</v>
      </c>
      <c r="J28" s="12">
        <v>2.8069999999999999</v>
      </c>
      <c r="K28" s="12">
        <v>3.7679999999999998</v>
      </c>
    </row>
    <row r="29" spans="5:11" x14ac:dyDescent="0.25">
      <c r="E29" s="12">
        <v>24</v>
      </c>
      <c r="F29" s="12">
        <v>1.3180000000000001</v>
      </c>
      <c r="G29" s="12">
        <v>1.7110000000000001</v>
      </c>
      <c r="H29" s="12">
        <v>2.0640000000000001</v>
      </c>
      <c r="I29" s="12">
        <v>2.492</v>
      </c>
      <c r="J29" s="12">
        <v>2.7970000000000002</v>
      </c>
      <c r="K29" s="12">
        <v>3.7450000000000001</v>
      </c>
    </row>
    <row r="30" spans="5:11" x14ac:dyDescent="0.25">
      <c r="E30" s="12">
        <v>25</v>
      </c>
      <c r="F30" s="12">
        <v>1.3160000000000001</v>
      </c>
      <c r="G30" s="12">
        <v>1.708</v>
      </c>
      <c r="H30" s="12">
        <v>2.06</v>
      </c>
      <c r="I30" s="12">
        <v>2.4849999999999999</v>
      </c>
      <c r="J30" s="12">
        <v>2.7869999999999999</v>
      </c>
      <c r="K30" s="12">
        <v>3.7250000000000001</v>
      </c>
    </row>
    <row r="31" spans="5:11" x14ac:dyDescent="0.25">
      <c r="E31" s="12">
        <v>26</v>
      </c>
      <c r="F31" s="12">
        <v>1.3149999999999999</v>
      </c>
      <c r="G31" s="12">
        <v>1.706</v>
      </c>
      <c r="H31" s="12">
        <v>2.056</v>
      </c>
      <c r="I31" s="12">
        <v>2.4790000000000001</v>
      </c>
      <c r="J31" s="12">
        <v>2.7789999999999999</v>
      </c>
      <c r="K31" s="12">
        <v>3.7069999999999999</v>
      </c>
    </row>
    <row r="32" spans="5:11" x14ac:dyDescent="0.25">
      <c r="E32" s="12">
        <v>27</v>
      </c>
      <c r="F32" s="12">
        <v>1.3140000000000001</v>
      </c>
      <c r="G32" s="12">
        <v>1.7030000000000001</v>
      </c>
      <c r="H32" s="12">
        <v>2.052</v>
      </c>
      <c r="I32" s="12">
        <v>2.4729999999999999</v>
      </c>
      <c r="J32" s="12">
        <v>2.7709999999999999</v>
      </c>
      <c r="K32" s="12">
        <v>3.69</v>
      </c>
    </row>
    <row r="33" spans="5:11" x14ac:dyDescent="0.25">
      <c r="E33" s="12">
        <v>28</v>
      </c>
      <c r="F33" s="12">
        <v>1.3129999999999999</v>
      </c>
      <c r="G33" s="12">
        <v>1.7010000000000001</v>
      </c>
      <c r="H33" s="12">
        <v>2.048</v>
      </c>
      <c r="I33" s="12">
        <v>2.4670000000000001</v>
      </c>
      <c r="J33" s="12">
        <v>2.7629999999999999</v>
      </c>
      <c r="K33" s="12">
        <v>3.6739999999999999</v>
      </c>
    </row>
    <row r="34" spans="5:11" x14ac:dyDescent="0.25">
      <c r="E34" s="12">
        <v>29</v>
      </c>
      <c r="F34" s="12">
        <v>1.3109999999999999</v>
      </c>
      <c r="G34" s="12">
        <v>1.6990000000000001</v>
      </c>
      <c r="H34" s="12">
        <v>2.0449999999999999</v>
      </c>
      <c r="I34" s="12">
        <v>2.4620000000000002</v>
      </c>
      <c r="J34" s="12">
        <v>2.7559999999999998</v>
      </c>
      <c r="K34" s="12">
        <v>3.6589999999999998</v>
      </c>
    </row>
    <row r="35" spans="5:11" x14ac:dyDescent="0.25">
      <c r="E35" s="12">
        <v>30</v>
      </c>
      <c r="F35" s="12">
        <v>1.31</v>
      </c>
      <c r="G35" s="12">
        <v>1.6970000000000001</v>
      </c>
      <c r="H35" s="12">
        <v>2.0419999999999998</v>
      </c>
      <c r="I35" s="12">
        <v>2.4569999999999999</v>
      </c>
      <c r="J35" s="12">
        <v>2.75</v>
      </c>
      <c r="K35" s="12">
        <v>3.6459999999999999</v>
      </c>
    </row>
    <row r="36" spans="5:11" x14ac:dyDescent="0.25">
      <c r="E36" s="12">
        <v>40</v>
      </c>
      <c r="F36" s="12">
        <v>1.3029999999999999</v>
      </c>
      <c r="G36" s="12">
        <v>1.6839999999999999</v>
      </c>
      <c r="H36" s="12">
        <v>2.0209999999999999</v>
      </c>
      <c r="I36" s="12">
        <v>2.423</v>
      </c>
      <c r="J36" s="12">
        <v>2.7040000000000002</v>
      </c>
      <c r="K36" s="12">
        <v>3.5510000000000002</v>
      </c>
    </row>
    <row r="37" spans="5:11" x14ac:dyDescent="0.25">
      <c r="E37" s="12">
        <v>60</v>
      </c>
      <c r="F37" s="12">
        <v>1.296</v>
      </c>
      <c r="G37" s="12">
        <v>1.671</v>
      </c>
      <c r="H37" s="12">
        <v>2</v>
      </c>
      <c r="I37" s="12">
        <v>2.39</v>
      </c>
      <c r="J37" s="12">
        <v>2.66</v>
      </c>
      <c r="K37" s="12">
        <v>3.46</v>
      </c>
    </row>
    <row r="38" spans="5:11" x14ac:dyDescent="0.25">
      <c r="E38" s="12">
        <v>80</v>
      </c>
      <c r="F38" s="12">
        <v>1.292</v>
      </c>
      <c r="G38" s="12">
        <v>1.6639999999999999</v>
      </c>
      <c r="H38" s="12">
        <v>1.99</v>
      </c>
      <c r="I38" s="12">
        <v>2.3740000000000001</v>
      </c>
      <c r="J38" s="12">
        <v>2.6389999999999998</v>
      </c>
      <c r="K38" s="12">
        <v>3.4159999999999999</v>
      </c>
    </row>
    <row r="39" spans="5:11" x14ac:dyDescent="0.25">
      <c r="E39" s="12">
        <v>100</v>
      </c>
      <c r="F39" s="12">
        <v>1.29</v>
      </c>
      <c r="G39" s="12">
        <v>1.66</v>
      </c>
      <c r="H39" s="12">
        <v>1.984</v>
      </c>
      <c r="I39" s="12">
        <v>2.3639999999999999</v>
      </c>
      <c r="J39" s="12">
        <v>2.6259999999999999</v>
      </c>
      <c r="K39" s="12">
        <v>3.39</v>
      </c>
    </row>
    <row r="40" spans="5:11" x14ac:dyDescent="0.25">
      <c r="E40" s="12">
        <v>1000</v>
      </c>
      <c r="F40" s="12">
        <v>1.282</v>
      </c>
      <c r="G40" s="12">
        <v>1.6459999999999999</v>
      </c>
      <c r="H40" s="12">
        <v>1.962</v>
      </c>
      <c r="I40" s="12">
        <v>2.33</v>
      </c>
      <c r="J40" s="12">
        <v>2.581</v>
      </c>
      <c r="K40" s="12">
        <v>3.3</v>
      </c>
    </row>
    <row r="41" spans="5:11" x14ac:dyDescent="0.25">
      <c r="E41" s="12" t="s">
        <v>69</v>
      </c>
      <c r="F41" s="12">
        <v>1.282</v>
      </c>
      <c r="G41" s="12">
        <v>1.645</v>
      </c>
      <c r="H41" s="12">
        <v>1.96</v>
      </c>
      <c r="I41" s="12">
        <v>2.3260000000000001</v>
      </c>
      <c r="J41" s="12">
        <v>2.5760000000000001</v>
      </c>
      <c r="K41" s="12">
        <v>3.2909999999999999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 Selection</vt:lpstr>
      <vt:lpstr>2 smpl Z test w. Popl. Par. </vt:lpstr>
      <vt:lpstr>1 smpl z test w. popl par p (2)</vt:lpstr>
      <vt:lpstr>1 smpl z test w. popl par p</vt:lpstr>
      <vt:lpstr>2 smpl T test w. Indpt. Samples</vt:lpstr>
      <vt:lpstr>1 smpl z test w. popl par mean</vt:lpstr>
      <vt:lpstr>1 smpl z test mean</vt:lpstr>
      <vt:lpstr>1 smpl t test mean</vt:lpstr>
      <vt:lpstr>2 smpl t test dependant samples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student</cp:lastModifiedBy>
  <dcterms:created xsi:type="dcterms:W3CDTF">2022-11-29T16:53:51Z</dcterms:created>
  <dcterms:modified xsi:type="dcterms:W3CDTF">2022-12-15T16:12:07Z</dcterms:modified>
</cp:coreProperties>
</file>